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la\Google Drive\Resume &amp; Stuff\ezhire\sql_analysis\mysql_queries\key_stats_queries\"/>
    </mc:Choice>
  </mc:AlternateContent>
  <xr:revisionPtr revIDLastSave="0" documentId="13_ncr:1_{923D24BE-3A73-46C8-9A98-8EA73B1CEAB8}" xr6:coauthVersionLast="47" xr6:coauthVersionMax="47" xr10:uidLastSave="{00000000-0000-0000-0000-000000000000}"/>
  <bookViews>
    <workbookView xWindow="30855" yWindow="1665" windowWidth="24465" windowHeight="12690" activeTab="1" xr2:uid="{00000000-000D-0000-FFFF-FFFF00000000}"/>
  </bookViews>
  <sheets>
    <sheet name="test3" sheetId="6" r:id="rId1"/>
    <sheet name="summary" sheetId="2" r:id="rId2"/>
    <sheet name="240667" sheetId="3" r:id="rId3"/>
    <sheet name="246867" sheetId="4" r:id="rId4"/>
    <sheet name="24687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I21" i="6"/>
  <c r="J21" i="6"/>
  <c r="K21" i="6"/>
  <c r="L21" i="6"/>
  <c r="M21" i="6" s="1"/>
  <c r="H21" i="6"/>
  <c r="Q96" i="3"/>
  <c r="I96" i="3"/>
  <c r="I65" i="4"/>
  <c r="I21" i="5"/>
  <c r="R25" i="5"/>
  <c r="R69" i="4"/>
  <c r="R100" i="3"/>
  <c r="R22" i="5"/>
  <c r="Q22" i="5"/>
  <c r="P22" i="5"/>
  <c r="O22" i="5"/>
  <c r="P21" i="5"/>
  <c r="Q21" i="5"/>
  <c r="R21" i="5"/>
  <c r="O21" i="5"/>
  <c r="S7" i="2"/>
  <c r="R7" i="2"/>
  <c r="Q7" i="2" s="1"/>
  <c r="T7" i="2" s="1"/>
  <c r="N96" i="3"/>
  <c r="M96" i="3"/>
  <c r="S8" i="2"/>
  <c r="W8" i="2" s="1"/>
  <c r="R8" i="2"/>
  <c r="V8" i="2" s="1"/>
  <c r="S6" i="2"/>
  <c r="R6" i="2"/>
  <c r="V6" i="2" s="1"/>
  <c r="Q6" i="2"/>
  <c r="U6" i="2" s="1"/>
  <c r="P6" i="2"/>
  <c r="P8" i="2"/>
  <c r="P7" i="2"/>
  <c r="J8" i="2"/>
  <c r="J6" i="2"/>
  <c r="J7" i="2"/>
  <c r="P97" i="3"/>
  <c r="Q97" i="3"/>
  <c r="R97" i="3"/>
  <c r="O97" i="3"/>
  <c r="R66" i="4"/>
  <c r="Q66" i="4"/>
  <c r="P66" i="4"/>
  <c r="O66" i="4"/>
  <c r="R65" i="4"/>
  <c r="P65" i="4"/>
  <c r="O65" i="4"/>
  <c r="R96" i="3"/>
  <c r="P96" i="3"/>
  <c r="O96" i="3"/>
  <c r="W6" i="2"/>
  <c r="W7" i="2"/>
  <c r="Q65" i="4" l="1"/>
  <c r="Q67" i="4" s="1"/>
  <c r="Q69" i="4"/>
  <c r="Q100" i="3"/>
  <c r="Q98" i="3"/>
  <c r="R98" i="3"/>
  <c r="V7" i="2"/>
  <c r="Q8" i="2"/>
  <c r="T8" i="2" s="1"/>
  <c r="T6" i="2"/>
  <c r="O67" i="4"/>
  <c r="P98" i="3"/>
  <c r="O98" i="3"/>
  <c r="P67" i="4"/>
  <c r="R67" i="4"/>
  <c r="U7" i="2"/>
  <c r="U8" i="2" l="1"/>
  <c r="O23" i="5" l="1"/>
  <c r="R23" i="5"/>
  <c r="Q23" i="5"/>
  <c r="P23" i="5"/>
</calcChain>
</file>

<file path=xl/sharedStrings.xml><?xml version="1.0" encoding="utf-8"?>
<sst xmlns="http://schemas.openxmlformats.org/spreadsheetml/2006/main" count="168" uniqueCount="81">
  <si>
    <t>year</t>
  </si>
  <si>
    <t>month</t>
  </si>
  <si>
    <t>day</t>
  </si>
  <si>
    <t>booking_count</t>
  </si>
  <si>
    <t>pickup_count</t>
  </si>
  <si>
    <t>return_count</t>
  </si>
  <si>
    <t>days_on_rent_fraction</t>
  </si>
  <si>
    <t>days_on_rent_whole_day</t>
  </si>
  <si>
    <t>booking_charge_Less_discount_aed</t>
  </si>
  <si>
    <t>booking_charge_aed</t>
  </si>
  <si>
    <t>booking_charge_less_discount_extension_aed</t>
  </si>
  <si>
    <t>extension_charge_aed</t>
  </si>
  <si>
    <t>United Arab Emirates</t>
  </si>
  <si>
    <t>YES</t>
  </si>
  <si>
    <t>Dispatch</t>
  </si>
  <si>
    <t>Weekly</t>
  </si>
  <si>
    <t>Rental Ended</t>
  </si>
  <si>
    <t>MarketPlace</t>
  </si>
  <si>
    <t>Subscription</t>
  </si>
  <si>
    <t>Rental Started</t>
  </si>
  <si>
    <t>Monthly</t>
  </si>
  <si>
    <t>created_at</t>
  </si>
  <si>
    <t>extension_charge_aed_per_day</t>
  </si>
  <si>
    <t>booking_charge_less_discount_extension_aed_per_day</t>
  </si>
  <si>
    <t>booking_charge_less_discount_aed_per_day</t>
  </si>
  <si>
    <t>booking_charge_aed_per_day</t>
  </si>
  <si>
    <t>return_fraction_of_day</t>
  </si>
  <si>
    <t>return_total_minutes_to_midnight</t>
  </si>
  <si>
    <t>return_minutes_to_midnight</t>
  </si>
  <si>
    <t>return_hours_to_midnight</t>
  </si>
  <si>
    <t>pickup_fraction_of_day</t>
  </si>
  <si>
    <t>pickup_total_minutes_to_midnight</t>
  </si>
  <si>
    <t>pickup_minutes_to_midnight</t>
  </si>
  <si>
    <t>pickup_hours_to_midnight</t>
  </si>
  <si>
    <t>booking_charge_less_discount_aed</t>
  </si>
  <si>
    <t>extension_days</t>
  </si>
  <si>
    <t>days_less_extension_days</t>
  </si>
  <si>
    <t>days_rented</t>
  </si>
  <si>
    <t>minutes_rented</t>
  </si>
  <si>
    <t>total_minutes_in_day</t>
  </si>
  <si>
    <t>return_time</t>
  </si>
  <si>
    <t>return_datetime</t>
  </si>
  <si>
    <t>return_date</t>
  </si>
  <si>
    <t>pickup_time</t>
  </si>
  <si>
    <t>pickup_datetime</t>
  </si>
  <si>
    <t>pickup_date</t>
  </si>
  <si>
    <t>booking_date</t>
  </si>
  <si>
    <t>country</t>
  </si>
  <si>
    <t>is_repeat</t>
  </si>
  <si>
    <t>vendor</t>
  </si>
  <si>
    <t>booking_type</t>
  </si>
  <si>
    <t>status</t>
  </si>
  <si>
    <t>booking_id</t>
  </si>
  <si>
    <t>id</t>
  </si>
  <si>
    <t>country_on_rent_serbia</t>
  </si>
  <si>
    <t>country_on_rent_oman</t>
  </si>
  <si>
    <t>country_on_rent_georgia</t>
  </si>
  <si>
    <t>country_on_rent_pakistan</t>
  </si>
  <si>
    <t>country_on_rent_kuwait</t>
  </si>
  <si>
    <t>country_on_rent_qatar</t>
  </si>
  <si>
    <t>country_on_rent_saudia_arabia</t>
  </si>
  <si>
    <t>country_on_rent_bahrain</t>
  </si>
  <si>
    <t>country_on_rent_united_arab_emirates</t>
  </si>
  <si>
    <t>is_repeat_on_rent_no</t>
  </si>
  <si>
    <t>is_repeat_on_rent_yes</t>
  </si>
  <si>
    <t>booking_type_on_rent_subscription</t>
  </si>
  <si>
    <t>booking_type_on_rent_monthly</t>
  </si>
  <si>
    <t>booking_type_on_rent_weekly</t>
  </si>
  <si>
    <t>booking_type_on_rent_daily</t>
  </si>
  <si>
    <t>vendor_on_rent_marketplace</t>
  </si>
  <si>
    <t>vendor_on_rent_dispatch</t>
  </si>
  <si>
    <t>extension_charge_aed_per_day_allocation</t>
  </si>
  <si>
    <t>booking_charge_less_discount_extension_aed_allocation</t>
  </si>
  <si>
    <t>booking_charge_Less_discount_aed_rev_allocation</t>
  </si>
  <si>
    <t>booking_charge_aed_rev_allocation</t>
  </si>
  <si>
    <t>extension_rental_period</t>
  </si>
  <si>
    <t>intial_rental_period</t>
  </si>
  <si>
    <t>week</t>
  </si>
  <si>
    <t>quarter</t>
  </si>
  <si>
    <t>calendar_date</t>
  </si>
  <si>
    <t>total_booking_charge_extension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</si>
</sst>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E+00"/>
    <numFmt numFmtId="165" formatCode="0.000000"/>
    <numFmt numFmtId="166" formatCode="0.0000"/>
    <numFmt numFmtId="167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="75" zoomScaleNormal="75" workbookViewId="0">
      <selection activeCell="O27" sqref="O27"/>
    </sheetView>
  </sheetViews>
  <sheetFormatPr defaultRowHeight="15" x14ac:dyDescent="0.25"/>
  <cols>
    <col min="1" max="7" width="14.42578125" style="3" customWidth="1"/>
    <col min="8" max="8" width="19.140625" style="3" customWidth="1"/>
    <col min="9" max="9" width="14.42578125" style="3" customWidth="1"/>
    <col min="10" max="10" width="18.42578125" style="3" customWidth="1"/>
    <col min="11" max="11" width="15.7109375" style="3" customWidth="1"/>
    <col min="12" max="12" width="20.140625" style="3" customWidth="1"/>
    <col min="13" max="13" width="19.140625" style="3" customWidth="1"/>
  </cols>
  <sheetData>
    <row r="1" spans="1:13" ht="45" x14ac:dyDescent="0.25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80</v>
      </c>
    </row>
    <row r="2" spans="1:13" x14ac:dyDescent="0.25">
      <c r="A2" s="3">
        <v>2023</v>
      </c>
      <c r="B2" s="3">
        <v>1</v>
      </c>
      <c r="C2" s="7">
        <v>4801</v>
      </c>
      <c r="D2" s="7">
        <v>4827</v>
      </c>
      <c r="E2" s="7">
        <v>4929</v>
      </c>
      <c r="F2" s="7">
        <v>69242</v>
      </c>
      <c r="G2" s="7">
        <v>77242</v>
      </c>
      <c r="H2" s="7">
        <v>5954351</v>
      </c>
      <c r="I2" s="7">
        <v>6126570</v>
      </c>
      <c r="J2" s="7">
        <v>3453693</v>
      </c>
      <c r="K2" s="7">
        <v>2806129</v>
      </c>
      <c r="L2" s="7">
        <v>6259821</v>
      </c>
      <c r="M2" s="7">
        <f>L2-H2</f>
        <v>305470</v>
      </c>
    </row>
    <row r="3" spans="1:13" x14ac:dyDescent="0.25">
      <c r="A3" s="3">
        <v>2023</v>
      </c>
      <c r="B3" s="3">
        <v>2</v>
      </c>
      <c r="C3" s="7">
        <v>4649</v>
      </c>
      <c r="D3" s="7">
        <v>4622</v>
      </c>
      <c r="E3" s="7">
        <v>4380</v>
      </c>
      <c r="F3" s="7">
        <v>63282</v>
      </c>
      <c r="G3" s="7">
        <v>71175</v>
      </c>
      <c r="H3" s="7">
        <v>5442171</v>
      </c>
      <c r="I3" s="7">
        <v>5560184</v>
      </c>
      <c r="J3" s="7">
        <v>3067989</v>
      </c>
      <c r="K3" s="7">
        <v>2709222</v>
      </c>
      <c r="L3" s="7">
        <v>5777211</v>
      </c>
      <c r="M3" s="7">
        <f t="shared" ref="M3:M21" si="0">L3-H3</f>
        <v>335040</v>
      </c>
    </row>
    <row r="4" spans="1:13" x14ac:dyDescent="0.25">
      <c r="A4" s="3">
        <v>2023</v>
      </c>
      <c r="B4" s="3">
        <v>3</v>
      </c>
      <c r="C4" s="7">
        <v>5045</v>
      </c>
      <c r="D4" s="7">
        <v>4998</v>
      </c>
      <c r="E4" s="7">
        <v>4803</v>
      </c>
      <c r="F4" s="7">
        <v>81251</v>
      </c>
      <c r="G4" s="7">
        <v>89652</v>
      </c>
      <c r="H4" s="7">
        <v>6682411</v>
      </c>
      <c r="I4" s="7">
        <v>6809585</v>
      </c>
      <c r="J4" s="7">
        <v>3916425</v>
      </c>
      <c r="K4" s="7">
        <v>3163569</v>
      </c>
      <c r="L4" s="7">
        <v>7079994</v>
      </c>
      <c r="M4" s="7">
        <f t="shared" si="0"/>
        <v>397583</v>
      </c>
    </row>
    <row r="5" spans="1:13" x14ac:dyDescent="0.25">
      <c r="A5" s="3">
        <v>2023</v>
      </c>
      <c r="B5" s="3">
        <v>4</v>
      </c>
      <c r="C5" s="7">
        <v>4580</v>
      </c>
      <c r="D5" s="7">
        <v>4671</v>
      </c>
      <c r="E5" s="7">
        <v>4764</v>
      </c>
      <c r="F5" s="7">
        <v>78618</v>
      </c>
      <c r="G5" s="7">
        <v>87517</v>
      </c>
      <c r="H5" s="7">
        <v>6207971</v>
      </c>
      <c r="I5" s="7">
        <v>6330886</v>
      </c>
      <c r="J5" s="7">
        <v>3464895</v>
      </c>
      <c r="K5" s="7">
        <v>3080303</v>
      </c>
      <c r="L5" s="7">
        <v>6545198</v>
      </c>
      <c r="M5" s="7">
        <f t="shared" si="0"/>
        <v>337227</v>
      </c>
    </row>
    <row r="6" spans="1:13" x14ac:dyDescent="0.25">
      <c r="A6" s="3">
        <v>2023</v>
      </c>
      <c r="B6" s="3">
        <v>5</v>
      </c>
      <c r="C6" s="7">
        <v>4537</v>
      </c>
      <c r="D6" s="7">
        <v>4508</v>
      </c>
      <c r="E6" s="7">
        <v>4376</v>
      </c>
      <c r="F6" s="7">
        <v>81823</v>
      </c>
      <c r="G6" s="7">
        <v>88799</v>
      </c>
      <c r="H6" s="7">
        <v>6435486</v>
      </c>
      <c r="I6" s="7">
        <v>6543344</v>
      </c>
      <c r="J6" s="7">
        <v>3505168</v>
      </c>
      <c r="K6" s="7">
        <v>3221524</v>
      </c>
      <c r="L6" s="7">
        <v>6726692</v>
      </c>
      <c r="M6" s="7">
        <f t="shared" si="0"/>
        <v>291206</v>
      </c>
    </row>
    <row r="7" spans="1:13" x14ac:dyDescent="0.25">
      <c r="A7" s="3">
        <v>2023</v>
      </c>
      <c r="B7" s="3">
        <v>6</v>
      </c>
      <c r="C7" s="7">
        <v>4651</v>
      </c>
      <c r="D7" s="7">
        <v>4660</v>
      </c>
      <c r="E7" s="7">
        <v>4690</v>
      </c>
      <c r="F7" s="7">
        <v>81003</v>
      </c>
      <c r="G7" s="7">
        <v>89772</v>
      </c>
      <c r="H7" s="7">
        <v>6383317</v>
      </c>
      <c r="I7" s="7">
        <v>6526791</v>
      </c>
      <c r="J7" s="7">
        <v>3455782</v>
      </c>
      <c r="K7" s="7">
        <v>3195057</v>
      </c>
      <c r="L7" s="7">
        <v>6650839</v>
      </c>
      <c r="M7" s="7">
        <f t="shared" si="0"/>
        <v>267522</v>
      </c>
    </row>
    <row r="8" spans="1:13" x14ac:dyDescent="0.25">
      <c r="A8" s="3">
        <v>2023</v>
      </c>
      <c r="B8" s="3">
        <v>7</v>
      </c>
      <c r="C8" s="7">
        <v>4384</v>
      </c>
      <c r="D8" s="7">
        <v>4381</v>
      </c>
      <c r="E8" s="7">
        <v>4393</v>
      </c>
      <c r="F8" s="7">
        <v>77765</v>
      </c>
      <c r="G8" s="7">
        <v>84540</v>
      </c>
      <c r="H8" s="7">
        <v>5802795</v>
      </c>
      <c r="I8" s="7">
        <v>5928422</v>
      </c>
      <c r="J8" s="7">
        <v>3035987</v>
      </c>
      <c r="K8" s="7">
        <v>2926737</v>
      </c>
      <c r="L8" s="7">
        <v>5962724</v>
      </c>
      <c r="M8" s="7">
        <f t="shared" si="0"/>
        <v>159929</v>
      </c>
    </row>
    <row r="9" spans="1:13" x14ac:dyDescent="0.25">
      <c r="A9" s="3">
        <v>2023</v>
      </c>
      <c r="B9" s="3">
        <v>8</v>
      </c>
      <c r="C9" s="7">
        <v>5184</v>
      </c>
      <c r="D9" s="7">
        <v>5194</v>
      </c>
      <c r="E9" s="7">
        <v>4677</v>
      </c>
      <c r="F9" s="7">
        <v>87478</v>
      </c>
      <c r="G9" s="7">
        <v>95683</v>
      </c>
      <c r="H9" s="7">
        <v>6305761</v>
      </c>
      <c r="I9" s="7">
        <v>6573739</v>
      </c>
      <c r="J9" s="7">
        <v>3495402</v>
      </c>
      <c r="K9" s="7">
        <v>2835607</v>
      </c>
      <c r="L9" s="7">
        <v>6331009</v>
      </c>
      <c r="M9" s="7">
        <f t="shared" si="0"/>
        <v>25248</v>
      </c>
    </row>
    <row r="10" spans="1:13" x14ac:dyDescent="0.25">
      <c r="A10" s="3">
        <v>2023</v>
      </c>
      <c r="B10" s="3">
        <v>9</v>
      </c>
      <c r="C10" s="7">
        <v>5100</v>
      </c>
      <c r="D10" s="7">
        <v>5085</v>
      </c>
      <c r="E10" s="7">
        <v>5078</v>
      </c>
      <c r="F10" s="7">
        <v>94574</v>
      </c>
      <c r="G10" s="7">
        <v>102496</v>
      </c>
      <c r="H10" s="7">
        <v>7059293</v>
      </c>
      <c r="I10" s="7">
        <v>7327082</v>
      </c>
      <c r="J10" s="7">
        <v>3928797</v>
      </c>
      <c r="K10" s="7">
        <v>3382122</v>
      </c>
      <c r="L10" s="7">
        <v>7310919</v>
      </c>
      <c r="M10" s="7">
        <f t="shared" si="0"/>
        <v>251626</v>
      </c>
    </row>
    <row r="11" spans="1:13" x14ac:dyDescent="0.25">
      <c r="A11" s="3">
        <v>2023</v>
      </c>
      <c r="B11" s="3">
        <v>10</v>
      </c>
      <c r="C11" s="7">
        <v>6351</v>
      </c>
      <c r="D11" s="7">
        <v>6301</v>
      </c>
      <c r="E11" s="7">
        <v>6313</v>
      </c>
      <c r="F11" s="7">
        <v>98275</v>
      </c>
      <c r="G11" s="7">
        <v>108615</v>
      </c>
      <c r="H11" s="7">
        <v>7697155</v>
      </c>
      <c r="I11" s="7">
        <v>7995400</v>
      </c>
      <c r="J11" s="7">
        <v>3916395</v>
      </c>
      <c r="K11" s="7">
        <v>4161577</v>
      </c>
      <c r="L11" s="7">
        <v>8077972</v>
      </c>
      <c r="M11" s="7">
        <f t="shared" si="0"/>
        <v>380817</v>
      </c>
    </row>
    <row r="12" spans="1:13" x14ac:dyDescent="0.25">
      <c r="A12" s="3">
        <v>2023</v>
      </c>
      <c r="B12" s="3">
        <v>11</v>
      </c>
      <c r="C12" s="7">
        <v>5811</v>
      </c>
      <c r="D12" s="7">
        <v>5692</v>
      </c>
      <c r="E12" s="7">
        <v>5645</v>
      </c>
      <c r="F12" s="7">
        <v>95661</v>
      </c>
      <c r="G12" s="7">
        <v>105448</v>
      </c>
      <c r="H12" s="7">
        <v>7642849</v>
      </c>
      <c r="I12" s="7">
        <v>7892435</v>
      </c>
      <c r="J12" s="7">
        <v>3994086</v>
      </c>
      <c r="K12" s="7">
        <v>4063355</v>
      </c>
      <c r="L12" s="7">
        <v>8057441</v>
      </c>
      <c r="M12" s="7">
        <f t="shared" si="0"/>
        <v>414592</v>
      </c>
    </row>
    <row r="13" spans="1:13" x14ac:dyDescent="0.25">
      <c r="A13" s="3">
        <v>2023</v>
      </c>
      <c r="B13" s="3">
        <v>12</v>
      </c>
      <c r="C13" s="7">
        <v>6761</v>
      </c>
      <c r="D13" s="7">
        <v>6894</v>
      </c>
      <c r="E13" s="7">
        <v>6877</v>
      </c>
      <c r="F13" s="7">
        <v>94685</v>
      </c>
      <c r="G13" s="7">
        <v>107187</v>
      </c>
      <c r="H13" s="7">
        <v>7687276</v>
      </c>
      <c r="I13" s="7">
        <v>7957589</v>
      </c>
      <c r="J13" s="7">
        <v>4059020</v>
      </c>
      <c r="K13" s="7">
        <v>4093878</v>
      </c>
      <c r="L13" s="7">
        <v>8152898</v>
      </c>
      <c r="M13" s="7">
        <f t="shared" si="0"/>
        <v>465622</v>
      </c>
    </row>
    <row r="14" spans="1:13" x14ac:dyDescent="0.25">
      <c r="A14" s="3">
        <v>2024</v>
      </c>
      <c r="B14" s="3">
        <v>1</v>
      </c>
      <c r="C14" s="7">
        <v>6257</v>
      </c>
      <c r="D14" s="7">
        <v>6234</v>
      </c>
      <c r="E14" s="7">
        <v>6324</v>
      </c>
      <c r="F14" s="7">
        <v>94236</v>
      </c>
      <c r="G14" s="7">
        <v>104413</v>
      </c>
      <c r="H14" s="7">
        <v>7583669</v>
      </c>
      <c r="I14" s="7">
        <v>7795368</v>
      </c>
      <c r="J14" s="7">
        <v>4128373</v>
      </c>
      <c r="K14" s="7">
        <v>3852385</v>
      </c>
      <c r="L14" s="7">
        <v>7980758</v>
      </c>
      <c r="M14" s="7">
        <f t="shared" si="0"/>
        <v>397089</v>
      </c>
    </row>
    <row r="15" spans="1:13" x14ac:dyDescent="0.25">
      <c r="A15" s="3">
        <v>2024</v>
      </c>
      <c r="B15" s="3">
        <v>2</v>
      </c>
      <c r="C15" s="7">
        <v>6267</v>
      </c>
      <c r="D15" s="7">
        <v>6261</v>
      </c>
      <c r="E15" s="7">
        <v>6103</v>
      </c>
      <c r="F15" s="7">
        <v>93659</v>
      </c>
      <c r="G15" s="7">
        <v>103872</v>
      </c>
      <c r="H15" s="7">
        <v>7359359</v>
      </c>
      <c r="I15" s="7">
        <v>7594480</v>
      </c>
      <c r="J15" s="7">
        <v>3954150</v>
      </c>
      <c r="K15" s="7">
        <v>3791374</v>
      </c>
      <c r="L15" s="7">
        <v>7745524</v>
      </c>
      <c r="M15" s="7">
        <f t="shared" si="0"/>
        <v>386165</v>
      </c>
    </row>
    <row r="16" spans="1:13" x14ac:dyDescent="0.25">
      <c r="A16" s="3">
        <v>2024</v>
      </c>
      <c r="B16" s="3">
        <v>3</v>
      </c>
      <c r="C16" s="7">
        <v>4042</v>
      </c>
      <c r="D16" s="7">
        <v>4171</v>
      </c>
      <c r="E16" s="7">
        <v>6207</v>
      </c>
      <c r="F16" s="7">
        <v>86377</v>
      </c>
      <c r="G16" s="7">
        <v>94148</v>
      </c>
      <c r="H16" s="7">
        <v>6750295</v>
      </c>
      <c r="I16" s="7">
        <v>6925271</v>
      </c>
      <c r="J16" s="7">
        <v>3331263</v>
      </c>
      <c r="K16" s="7">
        <v>3677029</v>
      </c>
      <c r="L16" s="7">
        <v>7008291</v>
      </c>
      <c r="M16" s="7">
        <f t="shared" si="0"/>
        <v>257996</v>
      </c>
    </row>
    <row r="17" spans="1:13" x14ac:dyDescent="0.25">
      <c r="A17" s="3">
        <v>2024</v>
      </c>
      <c r="B17" s="3">
        <v>4</v>
      </c>
      <c r="C17" s="3">
        <v>0</v>
      </c>
      <c r="D17" s="3">
        <v>27</v>
      </c>
      <c r="E17" s="7">
        <v>1252</v>
      </c>
      <c r="F17" s="7">
        <v>11564</v>
      </c>
      <c r="G17" s="7">
        <v>12312</v>
      </c>
      <c r="H17" s="7">
        <v>800461</v>
      </c>
      <c r="I17" s="7">
        <v>810910</v>
      </c>
      <c r="J17" s="7">
        <v>414373</v>
      </c>
      <c r="K17" s="7">
        <v>402252</v>
      </c>
      <c r="L17" s="7">
        <v>816625</v>
      </c>
      <c r="M17" s="7">
        <f t="shared" si="0"/>
        <v>16164</v>
      </c>
    </row>
    <row r="18" spans="1:13" x14ac:dyDescent="0.25">
      <c r="A18" s="3">
        <v>2024</v>
      </c>
      <c r="B18" s="3">
        <v>5</v>
      </c>
      <c r="C18" s="3">
        <v>0</v>
      </c>
      <c r="D18" s="3">
        <v>0</v>
      </c>
      <c r="E18" s="3">
        <v>13</v>
      </c>
      <c r="F18" s="3">
        <v>237</v>
      </c>
      <c r="G18" s="3">
        <v>243</v>
      </c>
      <c r="H18" s="7">
        <v>17450</v>
      </c>
      <c r="I18" s="7">
        <v>17537</v>
      </c>
      <c r="J18" s="7">
        <v>6197</v>
      </c>
      <c r="K18" s="7">
        <v>20261</v>
      </c>
      <c r="L18" s="7">
        <v>26457</v>
      </c>
      <c r="M18" s="7">
        <f t="shared" si="0"/>
        <v>9007</v>
      </c>
    </row>
    <row r="19" spans="1:13" x14ac:dyDescent="0.25">
      <c r="A19" s="3">
        <v>2024</v>
      </c>
      <c r="B19" s="3">
        <v>6</v>
      </c>
      <c r="C19" s="3">
        <v>0</v>
      </c>
      <c r="D19" s="3">
        <v>0</v>
      </c>
      <c r="E19" s="3">
        <v>3</v>
      </c>
      <c r="F19" s="3">
        <v>37</v>
      </c>
      <c r="G19" s="3">
        <v>38</v>
      </c>
      <c r="H19" s="7">
        <v>2570</v>
      </c>
      <c r="I19" s="7">
        <v>2595</v>
      </c>
      <c r="J19" s="3">
        <v>0</v>
      </c>
      <c r="K19" s="7">
        <v>5160</v>
      </c>
      <c r="L19" s="7">
        <v>5160</v>
      </c>
      <c r="M19" s="7">
        <f t="shared" si="0"/>
        <v>2590</v>
      </c>
    </row>
    <row r="20" spans="1:13" x14ac:dyDescent="0.25">
      <c r="M20" s="7"/>
    </row>
    <row r="21" spans="1:13" x14ac:dyDescent="0.25">
      <c r="H21" s="7">
        <f>SUM(H2:H19)</f>
        <v>101814640</v>
      </c>
      <c r="I21" s="7">
        <f t="shared" ref="I21:L21" si="1">SUM(I2:I19)</f>
        <v>104718188</v>
      </c>
      <c r="J21" s="7">
        <f t="shared" si="1"/>
        <v>55127995</v>
      </c>
      <c r="K21" s="7">
        <f t="shared" si="1"/>
        <v>51387541</v>
      </c>
      <c r="L21" s="7">
        <f t="shared" si="1"/>
        <v>106515533</v>
      </c>
      <c r="M21" s="7">
        <f t="shared" si="0"/>
        <v>4700893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" sqref="I2"/>
    </sheetView>
  </sheetViews>
  <sheetFormatPr defaultRowHeight="15" x14ac:dyDescent="0.25"/>
  <cols>
    <col min="1" max="9" width="9.140625" style="3"/>
    <col min="10" max="10" width="17.7109375" style="3" customWidth="1"/>
    <col min="11" max="11" width="9.140625" style="3"/>
    <col min="12" max="12" width="10.140625" style="3" bestFit="1" customWidth="1"/>
    <col min="13" max="13" width="18" style="3" customWidth="1"/>
    <col min="14" max="15" width="9.28515625" style="3" bestFit="1" customWidth="1"/>
    <col min="16" max="18" width="9.7109375" style="3" bestFit="1" customWidth="1"/>
    <col min="19" max="35" width="9.28515625" style="3" bestFit="1" customWidth="1"/>
    <col min="36" max="36" width="9.140625" style="3"/>
  </cols>
  <sheetData>
    <row r="1" spans="1:36" x14ac:dyDescent="0.25">
      <c r="A1" s="3" t="s">
        <v>53</v>
      </c>
      <c r="B1" s="3" t="s">
        <v>52</v>
      </c>
      <c r="C1" s="3" t="s">
        <v>51</v>
      </c>
      <c r="D1" s="3" t="s">
        <v>50</v>
      </c>
      <c r="E1" s="3" t="s">
        <v>49</v>
      </c>
      <c r="F1" s="3" t="s">
        <v>48</v>
      </c>
      <c r="G1" s="3" t="s">
        <v>47</v>
      </c>
      <c r="H1" s="3" t="s">
        <v>46</v>
      </c>
      <c r="I1" s="3" t="s">
        <v>45</v>
      </c>
      <c r="J1" s="3" t="s">
        <v>44</v>
      </c>
      <c r="K1" s="3" t="s">
        <v>43</v>
      </c>
      <c r="L1" s="3" t="s">
        <v>42</v>
      </c>
      <c r="M1" s="3" t="s">
        <v>41</v>
      </c>
      <c r="N1" s="3" t="s">
        <v>40</v>
      </c>
      <c r="O1" s="3" t="s">
        <v>39</v>
      </c>
      <c r="P1" s="3" t="s">
        <v>38</v>
      </c>
      <c r="Q1" s="3" t="s">
        <v>37</v>
      </c>
      <c r="R1" s="3" t="s">
        <v>36</v>
      </c>
      <c r="S1" s="3" t="s">
        <v>35</v>
      </c>
      <c r="T1" s="3" t="s">
        <v>9</v>
      </c>
      <c r="U1" s="3" t="s">
        <v>34</v>
      </c>
      <c r="V1" s="3" t="s">
        <v>10</v>
      </c>
      <c r="W1" s="3" t="s">
        <v>11</v>
      </c>
      <c r="X1" s="3" t="s">
        <v>33</v>
      </c>
      <c r="Y1" s="3" t="s">
        <v>32</v>
      </c>
      <c r="Z1" s="3" t="s">
        <v>31</v>
      </c>
      <c r="AA1" s="3" t="s">
        <v>30</v>
      </c>
      <c r="AB1" s="3" t="s">
        <v>29</v>
      </c>
      <c r="AC1" s="3" t="s">
        <v>28</v>
      </c>
      <c r="AD1" s="3" t="s">
        <v>27</v>
      </c>
      <c r="AE1" s="3" t="s">
        <v>26</v>
      </c>
      <c r="AF1" s="3" t="s">
        <v>25</v>
      </c>
      <c r="AG1" s="3" t="s">
        <v>24</v>
      </c>
      <c r="AH1" s="3" t="s">
        <v>23</v>
      </c>
      <c r="AI1" s="3" t="s">
        <v>22</v>
      </c>
      <c r="AJ1" s="3" t="s">
        <v>21</v>
      </c>
    </row>
    <row r="2" spans="1:36" x14ac:dyDescent="0.25">
      <c r="A2" s="3">
        <v>1</v>
      </c>
      <c r="B2" s="3">
        <v>240667</v>
      </c>
      <c r="C2" s="3" t="s">
        <v>19</v>
      </c>
      <c r="D2" s="3" t="s">
        <v>20</v>
      </c>
      <c r="E2" s="3" t="s">
        <v>14</v>
      </c>
      <c r="F2" s="3" t="s">
        <v>13</v>
      </c>
      <c r="G2" s="3" t="s">
        <v>12</v>
      </c>
      <c r="H2" s="9">
        <v>45292</v>
      </c>
      <c r="I2" s="9">
        <v>45293</v>
      </c>
      <c r="J2" s="10">
        <v>45293.80972222222</v>
      </c>
      <c r="K2" s="11">
        <v>0.80972222222222223</v>
      </c>
      <c r="L2" s="9">
        <v>45383</v>
      </c>
      <c r="M2" s="10">
        <v>45383.80972222222</v>
      </c>
      <c r="N2" s="11">
        <v>0.80972222222222223</v>
      </c>
      <c r="O2" s="3">
        <v>1440</v>
      </c>
      <c r="P2" s="3">
        <v>129600</v>
      </c>
      <c r="Q2" s="6">
        <v>90</v>
      </c>
      <c r="R2" s="3">
        <v>30</v>
      </c>
      <c r="S2" s="3">
        <v>60</v>
      </c>
      <c r="T2" s="3">
        <v>4865</v>
      </c>
      <c r="U2" s="3">
        <v>4865</v>
      </c>
      <c r="V2" s="3">
        <v>1507.1</v>
      </c>
      <c r="W2" s="3">
        <v>3357.9</v>
      </c>
      <c r="X2" s="3">
        <v>4</v>
      </c>
      <c r="Y2" s="3">
        <v>34</v>
      </c>
      <c r="Z2" s="3">
        <v>274</v>
      </c>
      <c r="AA2" s="3">
        <v>0.1903</v>
      </c>
      <c r="AB2" s="3">
        <v>19</v>
      </c>
      <c r="AC2" s="3">
        <v>26</v>
      </c>
      <c r="AD2" s="3">
        <v>1166</v>
      </c>
      <c r="AE2" s="3">
        <v>0.80969999999999998</v>
      </c>
      <c r="AF2" s="3">
        <v>54.0555555555555</v>
      </c>
      <c r="AG2" s="3">
        <v>54.0555555555555</v>
      </c>
      <c r="AH2" s="3">
        <v>50.236666666666601</v>
      </c>
      <c r="AI2" s="3">
        <v>55.965000000000003</v>
      </c>
      <c r="AJ2" s="10">
        <v>45373.016342592593</v>
      </c>
    </row>
    <row r="3" spans="1:36" x14ac:dyDescent="0.25">
      <c r="A3" s="3">
        <v>6003</v>
      </c>
      <c r="B3" s="3">
        <v>246867</v>
      </c>
      <c r="C3" s="3" t="s">
        <v>19</v>
      </c>
      <c r="D3" s="3" t="s">
        <v>18</v>
      </c>
      <c r="E3" s="3" t="s">
        <v>17</v>
      </c>
      <c r="F3" s="3" t="s">
        <v>13</v>
      </c>
      <c r="G3" s="3" t="s">
        <v>12</v>
      </c>
      <c r="H3" s="9">
        <v>45317</v>
      </c>
      <c r="I3" s="9">
        <v>45317</v>
      </c>
      <c r="J3" s="10">
        <v>45317.78125</v>
      </c>
      <c r="K3" s="11">
        <v>0.78125</v>
      </c>
      <c r="L3" s="9">
        <v>45377</v>
      </c>
      <c r="M3" s="10">
        <v>45377.75</v>
      </c>
      <c r="N3" s="11">
        <v>0.75</v>
      </c>
      <c r="O3" s="3">
        <v>1440</v>
      </c>
      <c r="P3" s="3">
        <v>86355</v>
      </c>
      <c r="Q3" s="6">
        <v>59.968800000000002</v>
      </c>
      <c r="R3" s="3">
        <v>29.968800000000002</v>
      </c>
      <c r="S3" s="3">
        <v>30</v>
      </c>
      <c r="T3" s="3">
        <v>7473.5999999999904</v>
      </c>
      <c r="U3" s="3">
        <v>7373.5999999999904</v>
      </c>
      <c r="V3" s="3">
        <v>3875.5722499999902</v>
      </c>
      <c r="W3" s="3">
        <v>3498.0277500000002</v>
      </c>
      <c r="X3" s="3">
        <v>5</v>
      </c>
      <c r="Y3" s="3">
        <v>15</v>
      </c>
      <c r="Z3" s="3">
        <v>315</v>
      </c>
      <c r="AA3" s="3">
        <v>0.21879999999999999</v>
      </c>
      <c r="AB3" s="3">
        <v>18</v>
      </c>
      <c r="AC3" s="3">
        <v>0</v>
      </c>
      <c r="AD3" s="3">
        <v>1080</v>
      </c>
      <c r="AE3" s="3">
        <v>0.75</v>
      </c>
      <c r="AF3" s="3">
        <v>124.624804898547</v>
      </c>
      <c r="AG3" s="3">
        <v>122.95727111431199</v>
      </c>
      <c r="AH3" s="3">
        <v>129.32023471076499</v>
      </c>
      <c r="AI3" s="3">
        <v>116.600925</v>
      </c>
      <c r="AJ3" s="10">
        <v>45373.016342592593</v>
      </c>
    </row>
    <row r="4" spans="1:36" x14ac:dyDescent="0.25">
      <c r="A4" s="3">
        <v>6012</v>
      </c>
      <c r="B4" s="3">
        <v>246876</v>
      </c>
      <c r="C4" s="3" t="s">
        <v>16</v>
      </c>
      <c r="D4" s="3" t="s">
        <v>15</v>
      </c>
      <c r="E4" s="3" t="s">
        <v>14</v>
      </c>
      <c r="F4" s="3" t="s">
        <v>13</v>
      </c>
      <c r="G4" s="3" t="s">
        <v>12</v>
      </c>
      <c r="H4" s="9">
        <v>45317</v>
      </c>
      <c r="I4" s="9">
        <v>45324</v>
      </c>
      <c r="J4" s="10">
        <v>45324.479166666664</v>
      </c>
      <c r="K4" s="11">
        <v>0.47916666666666669</v>
      </c>
      <c r="L4" s="9">
        <v>45332</v>
      </c>
      <c r="M4" s="10">
        <v>45332.833333333336</v>
      </c>
      <c r="N4" s="11">
        <v>0.83333333333333337</v>
      </c>
      <c r="O4" s="3">
        <v>1440</v>
      </c>
      <c r="P4" s="3">
        <v>12030</v>
      </c>
      <c r="Q4" s="6">
        <v>8.3542000000000005</v>
      </c>
      <c r="R4" s="3">
        <v>7.3541999999999996</v>
      </c>
      <c r="S4" s="3">
        <v>1</v>
      </c>
      <c r="T4" s="3">
        <v>1508.52</v>
      </c>
      <c r="U4" s="3">
        <v>1508.52</v>
      </c>
      <c r="V4" s="3">
        <v>1349.6759999999999</v>
      </c>
      <c r="W4" s="3">
        <v>158.843999999999</v>
      </c>
      <c r="X4" s="3">
        <v>12</v>
      </c>
      <c r="Y4" s="3">
        <v>30</v>
      </c>
      <c r="Z4" s="3">
        <v>750</v>
      </c>
      <c r="AA4" s="3">
        <v>0.52080000000000004</v>
      </c>
      <c r="AB4" s="3">
        <v>20</v>
      </c>
      <c r="AC4" s="3">
        <v>0</v>
      </c>
      <c r="AD4" s="3">
        <v>1200</v>
      </c>
      <c r="AE4" s="3">
        <v>0.83330000000000004</v>
      </c>
      <c r="AF4" s="3">
        <v>180.570252088769</v>
      </c>
      <c r="AG4" s="3">
        <v>180.570252088769</v>
      </c>
      <c r="AH4" s="3">
        <v>183.52451660275699</v>
      </c>
      <c r="AI4" s="3">
        <v>79.421999999999898</v>
      </c>
      <c r="AJ4" s="10">
        <v>45373.016342592593</v>
      </c>
    </row>
    <row r="6" spans="1:36" x14ac:dyDescent="0.25">
      <c r="J6" s="12">
        <f t="shared" ref="J6" si="0">M2-J2</f>
        <v>90</v>
      </c>
      <c r="P6" s="3">
        <f>P2/O2</f>
        <v>90</v>
      </c>
      <c r="Q6" s="6">
        <f>SUM(R6:S6)</f>
        <v>90</v>
      </c>
      <c r="R6" s="3">
        <f>R2</f>
        <v>30</v>
      </c>
      <c r="S6" s="3">
        <f t="shared" ref="S6:S8" si="1">S2</f>
        <v>60</v>
      </c>
      <c r="T6" s="3">
        <f>T2/Q6</f>
        <v>54.055555555555557</v>
      </c>
      <c r="U6" s="3">
        <f t="shared" ref="U6:W8" si="2">U2/Q6</f>
        <v>54.055555555555557</v>
      </c>
      <c r="V6" s="3">
        <f t="shared" si="2"/>
        <v>50.236666666666665</v>
      </c>
      <c r="W6" s="3">
        <f t="shared" si="2"/>
        <v>55.965000000000003</v>
      </c>
    </row>
    <row r="7" spans="1:36" x14ac:dyDescent="0.25">
      <c r="J7" s="12">
        <f>M3-J3</f>
        <v>59.96875</v>
      </c>
      <c r="P7" s="13">
        <f>P3/O3</f>
        <v>59.96875</v>
      </c>
      <c r="Q7" s="13">
        <f t="shared" ref="Q7:Q8" si="3">SUM(R7:S7)</f>
        <v>59.968800000000002</v>
      </c>
      <c r="R7" s="13">
        <f>29+AA3</f>
        <v>29.218800000000002</v>
      </c>
      <c r="S7" s="3">
        <f>30+AE3</f>
        <v>30.75</v>
      </c>
      <c r="T7" s="3">
        <f>T3/Q7</f>
        <v>124.62480489854708</v>
      </c>
      <c r="U7" s="3">
        <f t="shared" si="2"/>
        <v>122.95727111431262</v>
      </c>
      <c r="V7" s="3">
        <f t="shared" si="2"/>
        <v>132.63967890536196</v>
      </c>
      <c r="W7" s="3">
        <f t="shared" si="2"/>
        <v>113.75700000000001</v>
      </c>
    </row>
    <row r="8" spans="1:36" x14ac:dyDescent="0.25">
      <c r="J8" s="12">
        <f t="shared" ref="J8" si="4">M4-J4</f>
        <v>8.3541666666715173</v>
      </c>
      <c r="P8" s="3">
        <f>P4/O4</f>
        <v>8.3541666666666661</v>
      </c>
      <c r="Q8" s="6">
        <f t="shared" si="3"/>
        <v>8.3541999999999987</v>
      </c>
      <c r="R8" s="3">
        <f t="shared" ref="R8" si="5">R4</f>
        <v>7.3541999999999996</v>
      </c>
      <c r="S8" s="3">
        <f t="shared" si="1"/>
        <v>1</v>
      </c>
      <c r="T8" s="3">
        <f>T4/Q8</f>
        <v>180.57025208876973</v>
      </c>
      <c r="U8" s="3">
        <f t="shared" si="2"/>
        <v>180.57025208876973</v>
      </c>
      <c r="V8" s="3">
        <f t="shared" si="2"/>
        <v>183.52451660275761</v>
      </c>
      <c r="W8" s="14">
        <f t="shared" si="2"/>
        <v>158.843999999999</v>
      </c>
      <c r="X8" s="6"/>
    </row>
    <row r="9" spans="1:36" x14ac:dyDescent="0.25">
      <c r="Q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"/>
  <sheetViews>
    <sheetView zoomScale="75" zoomScaleNormal="75" workbookViewId="0">
      <pane xSplit="3" ySplit="4" topLeftCell="D78" activePane="bottomRight" state="frozen"/>
      <selection pane="topRight" activeCell="D1" sqref="D1"/>
      <selection pane="bottomLeft" activeCell="A5" sqref="A5"/>
      <selection pane="bottomRight" activeCell="D123" sqref="D123"/>
    </sheetView>
  </sheetViews>
  <sheetFormatPr defaultRowHeight="15" x14ac:dyDescent="0.25"/>
  <cols>
    <col min="1" max="1" width="16.140625" bestFit="1" customWidth="1"/>
    <col min="9" max="9" width="12" customWidth="1"/>
    <col min="13" max="13" width="12.140625" bestFit="1" customWidth="1"/>
    <col min="15" max="15" width="16.140625" customWidth="1"/>
    <col min="16" max="16" width="16.42578125" customWidth="1"/>
    <col min="17" max="17" width="21.5703125" customWidth="1"/>
    <col min="18" max="18" width="22.140625" customWidth="1"/>
  </cols>
  <sheetData>
    <row r="1" spans="1:35" x14ac:dyDescent="0.25">
      <c r="A1" t="s">
        <v>21</v>
      </c>
      <c r="B1" t="s">
        <v>79</v>
      </c>
      <c r="C1" t="s">
        <v>0</v>
      </c>
      <c r="D1" t="s">
        <v>78</v>
      </c>
      <c r="E1" t="s">
        <v>1</v>
      </c>
      <c r="F1" t="s">
        <v>77</v>
      </c>
      <c r="G1" t="s">
        <v>2</v>
      </c>
      <c r="H1" t="s">
        <v>7</v>
      </c>
      <c r="I1" t="s">
        <v>6</v>
      </c>
      <c r="J1" t="s">
        <v>3</v>
      </c>
      <c r="K1" t="s">
        <v>4</v>
      </c>
      <c r="L1" t="s">
        <v>5</v>
      </c>
      <c r="M1" t="s">
        <v>76</v>
      </c>
      <c r="N1" t="s">
        <v>75</v>
      </c>
      <c r="O1" t="s">
        <v>74</v>
      </c>
      <c r="P1" t="s">
        <v>73</v>
      </c>
      <c r="Q1" t="s">
        <v>72</v>
      </c>
      <c r="R1" t="s">
        <v>71</v>
      </c>
      <c r="S1" t="s">
        <v>70</v>
      </c>
      <c r="T1" t="s">
        <v>69</v>
      </c>
      <c r="U1" t="s">
        <v>68</v>
      </c>
      <c r="V1" t="s">
        <v>67</v>
      </c>
      <c r="W1" t="s">
        <v>66</v>
      </c>
      <c r="X1" t="s">
        <v>65</v>
      </c>
      <c r="Y1" t="s">
        <v>64</v>
      </c>
      <c r="Z1" t="s">
        <v>63</v>
      </c>
      <c r="AA1" t="s">
        <v>62</v>
      </c>
      <c r="AB1" t="s">
        <v>61</v>
      </c>
      <c r="AC1" t="s">
        <v>60</v>
      </c>
      <c r="AD1" t="s">
        <v>59</v>
      </c>
      <c r="AE1" t="s">
        <v>58</v>
      </c>
      <c r="AF1" t="s">
        <v>57</v>
      </c>
      <c r="AG1" t="s">
        <v>56</v>
      </c>
      <c r="AH1" t="s">
        <v>55</v>
      </c>
      <c r="AI1" t="s">
        <v>54</v>
      </c>
    </row>
    <row r="2" spans="1:35" x14ac:dyDescent="0.25">
      <c r="A2" s="1">
        <v>45373.107523148145</v>
      </c>
      <c r="B2" s="2">
        <v>45292</v>
      </c>
      <c r="C2">
        <v>2024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s="1">
        <v>45373.107523148145</v>
      </c>
      <c r="B3" s="2">
        <v>45293</v>
      </c>
      <c r="C3">
        <v>2024</v>
      </c>
      <c r="D3">
        <v>1</v>
      </c>
      <c r="E3">
        <v>1</v>
      </c>
      <c r="F3">
        <v>0</v>
      </c>
      <c r="G3">
        <v>2</v>
      </c>
      <c r="H3">
        <v>1</v>
      </c>
      <c r="I3">
        <v>0.1903</v>
      </c>
      <c r="J3">
        <v>0</v>
      </c>
      <c r="K3">
        <v>1</v>
      </c>
      <c r="L3">
        <v>0</v>
      </c>
      <c r="M3">
        <v>1</v>
      </c>
      <c r="N3">
        <v>0</v>
      </c>
      <c r="O3">
        <v>10.286772222222201</v>
      </c>
      <c r="P3">
        <v>10.286772222222201</v>
      </c>
      <c r="Q3">
        <v>48.616129032258002</v>
      </c>
      <c r="R3">
        <v>0</v>
      </c>
      <c r="S3">
        <v>0.1903</v>
      </c>
      <c r="T3">
        <v>0</v>
      </c>
      <c r="U3">
        <v>0</v>
      </c>
      <c r="V3">
        <v>0</v>
      </c>
      <c r="W3">
        <v>0.1903</v>
      </c>
      <c r="X3">
        <v>0</v>
      </c>
      <c r="Y3">
        <v>0.1903</v>
      </c>
      <c r="Z3">
        <v>0</v>
      </c>
      <c r="AA3">
        <v>0.1903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s="1">
        <v>45373.107523148145</v>
      </c>
      <c r="B4" s="2">
        <v>45294</v>
      </c>
      <c r="C4">
        <v>2024</v>
      </c>
      <c r="D4">
        <v>1</v>
      </c>
      <c r="E4">
        <v>1</v>
      </c>
      <c r="F4">
        <v>0</v>
      </c>
      <c r="G4">
        <v>3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54.0555555555555</v>
      </c>
      <c r="P4">
        <v>54.0555555555555</v>
      </c>
      <c r="Q4">
        <v>48.616129032258002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s="1">
        <v>45373.107523148145</v>
      </c>
      <c r="B5" s="2">
        <v>45295</v>
      </c>
      <c r="C5">
        <v>2024</v>
      </c>
      <c r="D5">
        <v>1</v>
      </c>
      <c r="E5">
        <v>1</v>
      </c>
      <c r="F5">
        <v>0</v>
      </c>
      <c r="G5">
        <v>4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54.0555555555555</v>
      </c>
      <c r="P5">
        <v>54.0555555555555</v>
      </c>
      <c r="Q5">
        <v>48.616129032258002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s="1">
        <v>45373.107523148145</v>
      </c>
      <c r="B6" s="2">
        <v>45296</v>
      </c>
      <c r="C6">
        <v>2024</v>
      </c>
      <c r="D6">
        <v>1</v>
      </c>
      <c r="E6">
        <v>1</v>
      </c>
      <c r="F6">
        <v>0</v>
      </c>
      <c r="G6">
        <v>5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54.0555555555555</v>
      </c>
      <c r="P6">
        <v>54.0555555555555</v>
      </c>
      <c r="Q6">
        <v>48.616129032258002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s="1">
        <v>45373.107523148145</v>
      </c>
      <c r="B7" s="2">
        <v>45297</v>
      </c>
      <c r="C7">
        <v>2024</v>
      </c>
      <c r="D7">
        <v>1</v>
      </c>
      <c r="E7">
        <v>1</v>
      </c>
      <c r="F7">
        <v>0</v>
      </c>
      <c r="G7">
        <v>6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54.0555555555555</v>
      </c>
      <c r="P7">
        <v>54.0555555555555</v>
      </c>
      <c r="Q7">
        <v>48.616129032258002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s="1">
        <v>45373.107523148145</v>
      </c>
      <c r="B8" s="2">
        <v>45298</v>
      </c>
      <c r="C8">
        <v>2024</v>
      </c>
      <c r="D8">
        <v>1</v>
      </c>
      <c r="E8">
        <v>1</v>
      </c>
      <c r="F8">
        <v>1</v>
      </c>
      <c r="G8">
        <v>7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54.0555555555555</v>
      </c>
      <c r="P8">
        <v>54.0555555555555</v>
      </c>
      <c r="Q8">
        <v>48.616129032258002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s="1">
        <v>45373.107523148145</v>
      </c>
      <c r="B9" s="2">
        <v>45299</v>
      </c>
      <c r="C9">
        <v>2024</v>
      </c>
      <c r="D9">
        <v>1</v>
      </c>
      <c r="E9">
        <v>1</v>
      </c>
      <c r="F9">
        <v>1</v>
      </c>
      <c r="G9">
        <v>8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54.0555555555555</v>
      </c>
      <c r="P9">
        <v>54.0555555555555</v>
      </c>
      <c r="Q9">
        <v>48.616129032258002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s="1">
        <v>45373.107523148145</v>
      </c>
      <c r="B10" s="2">
        <v>45300</v>
      </c>
      <c r="C10">
        <v>2024</v>
      </c>
      <c r="D10">
        <v>1</v>
      </c>
      <c r="E10">
        <v>1</v>
      </c>
      <c r="F10">
        <v>1</v>
      </c>
      <c r="G10">
        <v>9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54.0555555555555</v>
      </c>
      <c r="P10">
        <v>54.0555555555555</v>
      </c>
      <c r="Q10">
        <v>48.616129032258002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s="1">
        <v>45373.107523148145</v>
      </c>
      <c r="B11" s="2">
        <v>45301</v>
      </c>
      <c r="C11">
        <v>2024</v>
      </c>
      <c r="D11">
        <v>1</v>
      </c>
      <c r="E11">
        <v>1</v>
      </c>
      <c r="F11">
        <v>1</v>
      </c>
      <c r="G11">
        <v>10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54.0555555555555</v>
      </c>
      <c r="P11">
        <v>54.0555555555555</v>
      </c>
      <c r="Q11">
        <v>48.616129032258002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s="1">
        <v>45373.107523148145</v>
      </c>
      <c r="B12" s="2">
        <v>45302</v>
      </c>
      <c r="C12">
        <v>2024</v>
      </c>
      <c r="D12">
        <v>1</v>
      </c>
      <c r="E12">
        <v>1</v>
      </c>
      <c r="F12">
        <v>1</v>
      </c>
      <c r="G12">
        <v>11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54.0555555555555</v>
      </c>
      <c r="P12">
        <v>54.0555555555555</v>
      </c>
      <c r="Q12">
        <v>48.616129032258002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1">
        <v>45373.107523148145</v>
      </c>
      <c r="B13" s="2">
        <v>45303</v>
      </c>
      <c r="C13">
        <v>2024</v>
      </c>
      <c r="D13">
        <v>1</v>
      </c>
      <c r="E13">
        <v>1</v>
      </c>
      <c r="F13">
        <v>1</v>
      </c>
      <c r="G13">
        <v>12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54.0555555555555</v>
      </c>
      <c r="P13">
        <v>54.0555555555555</v>
      </c>
      <c r="Q13">
        <v>48.616129032258002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s="1">
        <v>45373.107523148145</v>
      </c>
      <c r="B14" s="2">
        <v>45304</v>
      </c>
      <c r="C14">
        <v>2024</v>
      </c>
      <c r="D14">
        <v>1</v>
      </c>
      <c r="E14">
        <v>1</v>
      </c>
      <c r="F14">
        <v>1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54.0555555555555</v>
      </c>
      <c r="P14">
        <v>54.0555555555555</v>
      </c>
      <c r="Q14">
        <v>48.616129032258002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s="1">
        <v>45373.107523148145</v>
      </c>
      <c r="B15" s="2">
        <v>45305</v>
      </c>
      <c r="C15">
        <v>2024</v>
      </c>
      <c r="D15">
        <v>1</v>
      </c>
      <c r="E15">
        <v>1</v>
      </c>
      <c r="F15">
        <v>2</v>
      </c>
      <c r="G15">
        <v>14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54.0555555555555</v>
      </c>
      <c r="P15">
        <v>54.0555555555555</v>
      </c>
      <c r="Q15">
        <v>48.616129032258002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s="1">
        <v>45373.107523148145</v>
      </c>
      <c r="B16" s="2">
        <v>45306</v>
      </c>
      <c r="C16">
        <v>2024</v>
      </c>
      <c r="D16">
        <v>1</v>
      </c>
      <c r="E16">
        <v>1</v>
      </c>
      <c r="F16">
        <v>2</v>
      </c>
      <c r="G16">
        <v>15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54.0555555555555</v>
      </c>
      <c r="P16">
        <v>54.0555555555555</v>
      </c>
      <c r="Q16">
        <v>48.616129032258002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s="1">
        <v>45373.107523148145</v>
      </c>
      <c r="B17" s="2">
        <v>45307</v>
      </c>
      <c r="C17">
        <v>2024</v>
      </c>
      <c r="D17">
        <v>1</v>
      </c>
      <c r="E17">
        <v>1</v>
      </c>
      <c r="F17">
        <v>2</v>
      </c>
      <c r="G17">
        <v>16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54.0555555555555</v>
      </c>
      <c r="P17">
        <v>54.0555555555555</v>
      </c>
      <c r="Q17">
        <v>48.616129032258002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s="1">
        <v>45373.107523148145</v>
      </c>
      <c r="B18" s="2">
        <v>45308</v>
      </c>
      <c r="C18">
        <v>2024</v>
      </c>
      <c r="D18">
        <v>1</v>
      </c>
      <c r="E18">
        <v>1</v>
      </c>
      <c r="F18">
        <v>2</v>
      </c>
      <c r="G18">
        <v>17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54.0555555555555</v>
      </c>
      <c r="P18">
        <v>54.0555555555555</v>
      </c>
      <c r="Q18">
        <v>48.616129032258002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s="1">
        <v>45373.107523148145</v>
      </c>
      <c r="B19" s="2">
        <v>45309</v>
      </c>
      <c r="C19">
        <v>2024</v>
      </c>
      <c r="D19">
        <v>1</v>
      </c>
      <c r="E19">
        <v>1</v>
      </c>
      <c r="F19">
        <v>2</v>
      </c>
      <c r="G19">
        <v>18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54.0555555555555</v>
      </c>
      <c r="P19">
        <v>54.0555555555555</v>
      </c>
      <c r="Q19">
        <v>48.616129032258002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s="1">
        <v>45373.107523148145</v>
      </c>
      <c r="B20" s="2">
        <v>45310</v>
      </c>
      <c r="C20">
        <v>2024</v>
      </c>
      <c r="D20">
        <v>1</v>
      </c>
      <c r="E20">
        <v>1</v>
      </c>
      <c r="F20">
        <v>2</v>
      </c>
      <c r="G20">
        <v>19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54.0555555555555</v>
      </c>
      <c r="P20">
        <v>54.0555555555555</v>
      </c>
      <c r="Q20">
        <v>48.616129032258002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s="1">
        <v>45373.107523148145</v>
      </c>
      <c r="B21" s="2">
        <v>45311</v>
      </c>
      <c r="C21">
        <v>2024</v>
      </c>
      <c r="D21">
        <v>1</v>
      </c>
      <c r="E21">
        <v>1</v>
      </c>
      <c r="F21">
        <v>2</v>
      </c>
      <c r="G21">
        <v>20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54.0555555555555</v>
      </c>
      <c r="P21">
        <v>54.0555555555555</v>
      </c>
      <c r="Q21">
        <v>48.616129032258002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s="1">
        <v>45373.107523148145</v>
      </c>
      <c r="B22" s="2">
        <v>45312</v>
      </c>
      <c r="C22">
        <v>2024</v>
      </c>
      <c r="D22">
        <v>1</v>
      </c>
      <c r="E22">
        <v>1</v>
      </c>
      <c r="F22">
        <v>3</v>
      </c>
      <c r="G22">
        <v>21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54.0555555555555</v>
      </c>
      <c r="P22">
        <v>54.0555555555555</v>
      </c>
      <c r="Q22">
        <v>48.616129032258002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s="1">
        <v>45373.107523148145</v>
      </c>
      <c r="B23" s="2">
        <v>45313</v>
      </c>
      <c r="C23">
        <v>2024</v>
      </c>
      <c r="D23">
        <v>1</v>
      </c>
      <c r="E23">
        <v>1</v>
      </c>
      <c r="F23">
        <v>3</v>
      </c>
      <c r="G23">
        <v>22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54.0555555555555</v>
      </c>
      <c r="P23">
        <v>54.0555555555555</v>
      </c>
      <c r="Q23">
        <v>48.616129032258002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s="1">
        <v>45373.107523148145</v>
      </c>
      <c r="B24" s="2">
        <v>45314</v>
      </c>
      <c r="C24">
        <v>2024</v>
      </c>
      <c r="D24">
        <v>1</v>
      </c>
      <c r="E24">
        <v>1</v>
      </c>
      <c r="F24">
        <v>3</v>
      </c>
      <c r="G24">
        <v>23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54.0555555555555</v>
      </c>
      <c r="P24">
        <v>54.0555555555555</v>
      </c>
      <c r="Q24">
        <v>48.616129032258002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s="1">
        <v>45373.107523148145</v>
      </c>
      <c r="B25" s="2">
        <v>45315</v>
      </c>
      <c r="C25">
        <v>2024</v>
      </c>
      <c r="D25">
        <v>1</v>
      </c>
      <c r="E25">
        <v>1</v>
      </c>
      <c r="F25">
        <v>3</v>
      </c>
      <c r="G25">
        <v>24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54.0555555555555</v>
      </c>
      <c r="P25">
        <v>54.0555555555555</v>
      </c>
      <c r="Q25">
        <v>48.616129032258002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s="1">
        <v>45373.107523148145</v>
      </c>
      <c r="B26" s="2">
        <v>45316</v>
      </c>
      <c r="C26">
        <v>2024</v>
      </c>
      <c r="D26">
        <v>1</v>
      </c>
      <c r="E26">
        <v>1</v>
      </c>
      <c r="F26">
        <v>3</v>
      </c>
      <c r="G26">
        <v>25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54.0555555555555</v>
      </c>
      <c r="P26">
        <v>54.0555555555555</v>
      </c>
      <c r="Q26">
        <v>48.616129032258002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s="1">
        <v>45373.107523148145</v>
      </c>
      <c r="B27" s="2">
        <v>45317</v>
      </c>
      <c r="C27">
        <v>2024</v>
      </c>
      <c r="D27">
        <v>1</v>
      </c>
      <c r="E27">
        <v>1</v>
      </c>
      <c r="F27">
        <v>3</v>
      </c>
      <c r="G27">
        <v>26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54.0555555555555</v>
      </c>
      <c r="P27">
        <v>54.0555555555555</v>
      </c>
      <c r="Q27">
        <v>48.616129032258002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s="1">
        <v>45373.107523148145</v>
      </c>
      <c r="B28" s="2">
        <v>45318</v>
      </c>
      <c r="C28">
        <v>2024</v>
      </c>
      <c r="D28">
        <v>1</v>
      </c>
      <c r="E28">
        <v>1</v>
      </c>
      <c r="F28">
        <v>3</v>
      </c>
      <c r="G28">
        <v>27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54.0555555555555</v>
      </c>
      <c r="P28">
        <v>54.0555555555555</v>
      </c>
      <c r="Q28">
        <v>48.616129032258002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s="1">
        <v>45373.107523148145</v>
      </c>
      <c r="B29" s="2">
        <v>45319</v>
      </c>
      <c r="C29">
        <v>2024</v>
      </c>
      <c r="D29">
        <v>1</v>
      </c>
      <c r="E29">
        <v>1</v>
      </c>
      <c r="F29">
        <v>4</v>
      </c>
      <c r="G29">
        <v>28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54.0555555555555</v>
      </c>
      <c r="P29">
        <v>54.0555555555555</v>
      </c>
      <c r="Q29">
        <v>48.616129032258002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s="1">
        <v>45373.107523148145</v>
      </c>
      <c r="B30" s="2">
        <v>45320</v>
      </c>
      <c r="C30">
        <v>2024</v>
      </c>
      <c r="D30">
        <v>1</v>
      </c>
      <c r="E30">
        <v>1</v>
      </c>
      <c r="F30">
        <v>4</v>
      </c>
      <c r="G30">
        <v>29</v>
      </c>
      <c r="H30">
        <v>1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54.0555555555555</v>
      </c>
      <c r="P30">
        <v>54.0555555555555</v>
      </c>
      <c r="Q30">
        <v>48.616129032258002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s="1">
        <v>45373.107523148145</v>
      </c>
      <c r="B31" s="2">
        <v>45321</v>
      </c>
      <c r="C31">
        <v>2024</v>
      </c>
      <c r="D31">
        <v>1</v>
      </c>
      <c r="E31">
        <v>1</v>
      </c>
      <c r="F31">
        <v>4</v>
      </c>
      <c r="G31">
        <v>30</v>
      </c>
      <c r="H31">
        <v>1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54.0555555555555</v>
      </c>
      <c r="P31">
        <v>54.0555555555555</v>
      </c>
      <c r="Q31">
        <v>48.616129032258002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s="1">
        <v>45373.107523148145</v>
      </c>
      <c r="B32" s="2">
        <v>45322</v>
      </c>
      <c r="C32">
        <v>2024</v>
      </c>
      <c r="D32">
        <v>1</v>
      </c>
      <c r="E32">
        <v>1</v>
      </c>
      <c r="F32">
        <v>4</v>
      </c>
      <c r="G32">
        <v>31</v>
      </c>
      <c r="H32">
        <v>1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54.0555555555555</v>
      </c>
      <c r="P32">
        <v>54.0555555555555</v>
      </c>
      <c r="Q32">
        <v>48.616129032258002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s="1">
        <v>45373.107523148145</v>
      </c>
      <c r="B33" s="2">
        <v>45323</v>
      </c>
      <c r="C33">
        <v>2024</v>
      </c>
      <c r="D33">
        <v>1</v>
      </c>
      <c r="E33">
        <v>2</v>
      </c>
      <c r="F33">
        <v>4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54.0555555555555</v>
      </c>
      <c r="P33">
        <v>54.0555555555555</v>
      </c>
      <c r="Q33">
        <v>48.616129032258002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s="1">
        <v>45373.107523148145</v>
      </c>
      <c r="B34" s="2">
        <v>45324</v>
      </c>
      <c r="C34">
        <v>2024</v>
      </c>
      <c r="D34">
        <v>1</v>
      </c>
      <c r="E34">
        <v>2</v>
      </c>
      <c r="F34">
        <v>4</v>
      </c>
      <c r="G34">
        <v>2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54.0555555555555</v>
      </c>
      <c r="P34">
        <v>54.0555555555555</v>
      </c>
      <c r="Q34">
        <v>0</v>
      </c>
      <c r="R34">
        <v>55.965000000000003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s="1">
        <v>45373.107523148145</v>
      </c>
      <c r="B35" s="2">
        <v>45325</v>
      </c>
      <c r="C35">
        <v>2024</v>
      </c>
      <c r="D35">
        <v>1</v>
      </c>
      <c r="E35">
        <v>2</v>
      </c>
      <c r="F35">
        <v>4</v>
      </c>
      <c r="G35">
        <v>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54.0555555555555</v>
      </c>
      <c r="P35">
        <v>54.0555555555555</v>
      </c>
      <c r="Q35">
        <v>0</v>
      </c>
      <c r="R35">
        <v>55.965000000000003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s="1">
        <v>45373.107523148145</v>
      </c>
      <c r="B36" s="2">
        <v>45326</v>
      </c>
      <c r="C36">
        <v>2024</v>
      </c>
      <c r="D36">
        <v>1</v>
      </c>
      <c r="E36">
        <v>2</v>
      </c>
      <c r="F36">
        <v>5</v>
      </c>
      <c r="G36">
        <v>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54.0555555555555</v>
      </c>
      <c r="P36">
        <v>54.0555555555555</v>
      </c>
      <c r="Q36">
        <v>0</v>
      </c>
      <c r="R36">
        <v>55.965000000000003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s="1">
        <v>45373.107523148145</v>
      </c>
      <c r="B37" s="2">
        <v>45327</v>
      </c>
      <c r="C37">
        <v>2024</v>
      </c>
      <c r="D37">
        <v>1</v>
      </c>
      <c r="E37">
        <v>2</v>
      </c>
      <c r="F37">
        <v>5</v>
      </c>
      <c r="G37">
        <v>5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54.0555555555555</v>
      </c>
      <c r="P37">
        <v>54.0555555555555</v>
      </c>
      <c r="Q37">
        <v>0</v>
      </c>
      <c r="R37">
        <v>55.965000000000003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s="1">
        <v>45373.107523148145</v>
      </c>
      <c r="B38" s="2">
        <v>45328</v>
      </c>
      <c r="C38">
        <v>2024</v>
      </c>
      <c r="D38">
        <v>1</v>
      </c>
      <c r="E38">
        <v>2</v>
      </c>
      <c r="F38">
        <v>5</v>
      </c>
      <c r="G38">
        <v>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54.0555555555555</v>
      </c>
      <c r="P38">
        <v>54.0555555555555</v>
      </c>
      <c r="Q38">
        <v>0</v>
      </c>
      <c r="R38">
        <v>55.965000000000003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s="1">
        <v>45373.107523148145</v>
      </c>
      <c r="B39" s="2">
        <v>45329</v>
      </c>
      <c r="C39">
        <v>2024</v>
      </c>
      <c r="D39">
        <v>1</v>
      </c>
      <c r="E39">
        <v>2</v>
      </c>
      <c r="F39">
        <v>5</v>
      </c>
      <c r="G39">
        <v>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54.0555555555555</v>
      </c>
      <c r="P39">
        <v>54.0555555555555</v>
      </c>
      <c r="Q39">
        <v>0</v>
      </c>
      <c r="R39">
        <v>55.965000000000003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s="1">
        <v>45373.107523148145</v>
      </c>
      <c r="B40" s="2">
        <v>45330</v>
      </c>
      <c r="C40">
        <v>2024</v>
      </c>
      <c r="D40">
        <v>1</v>
      </c>
      <c r="E40">
        <v>2</v>
      </c>
      <c r="F40">
        <v>5</v>
      </c>
      <c r="G40">
        <v>8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54.0555555555555</v>
      </c>
      <c r="P40">
        <v>54.0555555555555</v>
      </c>
      <c r="Q40">
        <v>0</v>
      </c>
      <c r="R40">
        <v>55.965000000000003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s="1">
        <v>45373.107523148145</v>
      </c>
      <c r="B41" s="2">
        <v>45331</v>
      </c>
      <c r="C41">
        <v>2024</v>
      </c>
      <c r="D41">
        <v>1</v>
      </c>
      <c r="E41">
        <v>2</v>
      </c>
      <c r="F41">
        <v>5</v>
      </c>
      <c r="G41">
        <v>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54.0555555555555</v>
      </c>
      <c r="P41">
        <v>54.0555555555555</v>
      </c>
      <c r="Q41">
        <v>0</v>
      </c>
      <c r="R41">
        <v>55.965000000000003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s="1">
        <v>45373.107523148145</v>
      </c>
      <c r="B42" s="2">
        <v>45332</v>
      </c>
      <c r="C42">
        <v>2024</v>
      </c>
      <c r="D42">
        <v>1</v>
      </c>
      <c r="E42">
        <v>2</v>
      </c>
      <c r="F42">
        <v>5</v>
      </c>
      <c r="G42">
        <v>10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54.0555555555555</v>
      </c>
      <c r="P42">
        <v>54.0555555555555</v>
      </c>
      <c r="Q42">
        <v>0</v>
      </c>
      <c r="R42">
        <v>55.965000000000003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s="1">
        <v>45373.107523148145</v>
      </c>
      <c r="B43" s="2">
        <v>45333</v>
      </c>
      <c r="C43">
        <v>2024</v>
      </c>
      <c r="D43">
        <v>1</v>
      </c>
      <c r="E43">
        <v>2</v>
      </c>
      <c r="F43">
        <v>6</v>
      </c>
      <c r="G43">
        <v>11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54.0555555555555</v>
      </c>
      <c r="P43">
        <v>54.0555555555555</v>
      </c>
      <c r="Q43">
        <v>0</v>
      </c>
      <c r="R43">
        <v>55.965000000000003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s="1">
        <v>45373.107523148145</v>
      </c>
      <c r="B44" s="2">
        <v>45334</v>
      </c>
      <c r="C44">
        <v>2024</v>
      </c>
      <c r="D44">
        <v>1</v>
      </c>
      <c r="E44">
        <v>2</v>
      </c>
      <c r="F44">
        <v>6</v>
      </c>
      <c r="G44">
        <v>12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54.0555555555555</v>
      </c>
      <c r="P44">
        <v>54.0555555555555</v>
      </c>
      <c r="Q44">
        <v>0</v>
      </c>
      <c r="R44">
        <v>55.965000000000003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s="1">
        <v>45373.107523148145</v>
      </c>
      <c r="B45" s="2">
        <v>45335</v>
      </c>
      <c r="C45">
        <v>2024</v>
      </c>
      <c r="D45">
        <v>1</v>
      </c>
      <c r="E45">
        <v>2</v>
      </c>
      <c r="F45">
        <v>6</v>
      </c>
      <c r="G45">
        <v>13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54.0555555555555</v>
      </c>
      <c r="P45">
        <v>54.0555555555555</v>
      </c>
      <c r="Q45">
        <v>0</v>
      </c>
      <c r="R45">
        <v>55.965000000000003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s="1">
        <v>45373.107523148145</v>
      </c>
      <c r="B46" s="2">
        <v>45336</v>
      </c>
      <c r="C46">
        <v>2024</v>
      </c>
      <c r="D46">
        <v>1</v>
      </c>
      <c r="E46">
        <v>2</v>
      </c>
      <c r="F46">
        <v>6</v>
      </c>
      <c r="G46">
        <v>14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54.0555555555555</v>
      </c>
      <c r="P46">
        <v>54.0555555555555</v>
      </c>
      <c r="Q46">
        <v>0</v>
      </c>
      <c r="R46">
        <v>55.965000000000003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s="1">
        <v>45373.107523148145</v>
      </c>
      <c r="B47" s="2">
        <v>45337</v>
      </c>
      <c r="C47">
        <v>2024</v>
      </c>
      <c r="D47">
        <v>1</v>
      </c>
      <c r="E47">
        <v>2</v>
      </c>
      <c r="F47">
        <v>6</v>
      </c>
      <c r="G47">
        <v>15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54.0555555555555</v>
      </c>
      <c r="P47">
        <v>54.0555555555555</v>
      </c>
      <c r="Q47">
        <v>0</v>
      </c>
      <c r="R47">
        <v>55.965000000000003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s="1">
        <v>45373.107523148145</v>
      </c>
      <c r="B48" s="2">
        <v>45338</v>
      </c>
      <c r="C48">
        <v>2024</v>
      </c>
      <c r="D48">
        <v>1</v>
      </c>
      <c r="E48">
        <v>2</v>
      </c>
      <c r="F48">
        <v>6</v>
      </c>
      <c r="G48">
        <v>16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54.0555555555555</v>
      </c>
      <c r="P48">
        <v>54.0555555555555</v>
      </c>
      <c r="Q48">
        <v>0</v>
      </c>
      <c r="R48">
        <v>55.965000000000003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s="1">
        <v>45373.107523148145</v>
      </c>
      <c r="B49" s="2">
        <v>45339</v>
      </c>
      <c r="C49">
        <v>2024</v>
      </c>
      <c r="D49">
        <v>1</v>
      </c>
      <c r="E49">
        <v>2</v>
      </c>
      <c r="F49">
        <v>6</v>
      </c>
      <c r="G49">
        <v>17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54.0555555555555</v>
      </c>
      <c r="P49">
        <v>54.0555555555555</v>
      </c>
      <c r="Q49">
        <v>0</v>
      </c>
      <c r="R49">
        <v>55.965000000000003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s="1">
        <v>45373.107523148145</v>
      </c>
      <c r="B50" s="2">
        <v>45340</v>
      </c>
      <c r="C50">
        <v>2024</v>
      </c>
      <c r="D50">
        <v>1</v>
      </c>
      <c r="E50">
        <v>2</v>
      </c>
      <c r="F50">
        <v>7</v>
      </c>
      <c r="G50">
        <v>18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54.0555555555555</v>
      </c>
      <c r="P50">
        <v>54.0555555555555</v>
      </c>
      <c r="Q50">
        <v>0</v>
      </c>
      <c r="R50">
        <v>55.965000000000003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s="1">
        <v>45373.107523148145</v>
      </c>
      <c r="B51" s="2">
        <v>45341</v>
      </c>
      <c r="C51">
        <v>2024</v>
      </c>
      <c r="D51">
        <v>1</v>
      </c>
      <c r="E51">
        <v>2</v>
      </c>
      <c r="F51">
        <v>7</v>
      </c>
      <c r="G51">
        <v>19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54.0555555555555</v>
      </c>
      <c r="P51">
        <v>54.0555555555555</v>
      </c>
      <c r="Q51">
        <v>0</v>
      </c>
      <c r="R51">
        <v>55.965000000000003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s="1">
        <v>45373.107523148145</v>
      </c>
      <c r="B52" s="2">
        <v>45342</v>
      </c>
      <c r="C52">
        <v>2024</v>
      </c>
      <c r="D52">
        <v>1</v>
      </c>
      <c r="E52">
        <v>2</v>
      </c>
      <c r="F52">
        <v>7</v>
      </c>
      <c r="G52">
        <v>20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54.0555555555555</v>
      </c>
      <c r="P52">
        <v>54.0555555555555</v>
      </c>
      <c r="Q52">
        <v>0</v>
      </c>
      <c r="R52">
        <v>55.965000000000003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s="1">
        <v>45373.107523148145</v>
      </c>
      <c r="B53" s="2">
        <v>45343</v>
      </c>
      <c r="C53">
        <v>2024</v>
      </c>
      <c r="D53">
        <v>1</v>
      </c>
      <c r="E53">
        <v>2</v>
      </c>
      <c r="F53">
        <v>7</v>
      </c>
      <c r="G53">
        <v>21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54.0555555555555</v>
      </c>
      <c r="P53">
        <v>54.0555555555555</v>
      </c>
      <c r="Q53">
        <v>0</v>
      </c>
      <c r="R53">
        <v>55.965000000000003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s="1">
        <v>45373.107523148145</v>
      </c>
      <c r="B54" s="2">
        <v>45344</v>
      </c>
      <c r="C54">
        <v>2024</v>
      </c>
      <c r="D54">
        <v>1</v>
      </c>
      <c r="E54">
        <v>2</v>
      </c>
      <c r="F54">
        <v>7</v>
      </c>
      <c r="G54">
        <v>22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54.0555555555555</v>
      </c>
      <c r="P54">
        <v>54.0555555555555</v>
      </c>
      <c r="Q54">
        <v>0</v>
      </c>
      <c r="R54">
        <v>55.965000000000003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s="1">
        <v>45373.107523148145</v>
      </c>
      <c r="B55" s="2">
        <v>45345</v>
      </c>
      <c r="C55">
        <v>2024</v>
      </c>
      <c r="D55">
        <v>1</v>
      </c>
      <c r="E55">
        <v>2</v>
      </c>
      <c r="F55">
        <v>7</v>
      </c>
      <c r="G55">
        <v>23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54.0555555555555</v>
      </c>
      <c r="P55">
        <v>54.0555555555555</v>
      </c>
      <c r="Q55">
        <v>0</v>
      </c>
      <c r="R55">
        <v>55.965000000000003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s="1">
        <v>45373.107523148145</v>
      </c>
      <c r="B56" s="2">
        <v>45346</v>
      </c>
      <c r="C56">
        <v>2024</v>
      </c>
      <c r="D56">
        <v>1</v>
      </c>
      <c r="E56">
        <v>2</v>
      </c>
      <c r="F56">
        <v>7</v>
      </c>
      <c r="G56">
        <v>24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54.0555555555555</v>
      </c>
      <c r="P56">
        <v>54.0555555555555</v>
      </c>
      <c r="Q56">
        <v>0</v>
      </c>
      <c r="R56">
        <v>55.965000000000003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s="1">
        <v>45373.107523148145</v>
      </c>
      <c r="B57" s="2">
        <v>45347</v>
      </c>
      <c r="C57">
        <v>2024</v>
      </c>
      <c r="D57">
        <v>1</v>
      </c>
      <c r="E57">
        <v>2</v>
      </c>
      <c r="F57">
        <v>8</v>
      </c>
      <c r="G57">
        <v>25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54.0555555555555</v>
      </c>
      <c r="P57">
        <v>54.0555555555555</v>
      </c>
      <c r="Q57">
        <v>0</v>
      </c>
      <c r="R57">
        <v>55.965000000000003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s="1">
        <v>45373.107523148145</v>
      </c>
      <c r="B58" s="2">
        <v>45348</v>
      </c>
      <c r="C58">
        <v>2024</v>
      </c>
      <c r="D58">
        <v>1</v>
      </c>
      <c r="E58">
        <v>2</v>
      </c>
      <c r="F58">
        <v>8</v>
      </c>
      <c r="G58">
        <v>26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54.0555555555555</v>
      </c>
      <c r="P58">
        <v>54.0555555555555</v>
      </c>
      <c r="Q58">
        <v>0</v>
      </c>
      <c r="R58">
        <v>55.965000000000003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s="1">
        <v>45373.107523148145</v>
      </c>
      <c r="B59" s="2">
        <v>45349</v>
      </c>
      <c r="C59">
        <v>2024</v>
      </c>
      <c r="D59">
        <v>1</v>
      </c>
      <c r="E59">
        <v>2</v>
      </c>
      <c r="F59">
        <v>8</v>
      </c>
      <c r="G59">
        <v>27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54.0555555555555</v>
      </c>
      <c r="P59">
        <v>54.0555555555555</v>
      </c>
      <c r="Q59">
        <v>0</v>
      </c>
      <c r="R59">
        <v>55.965000000000003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s="1">
        <v>45373.107523148145</v>
      </c>
      <c r="B60" s="2">
        <v>45350</v>
      </c>
      <c r="C60">
        <v>2024</v>
      </c>
      <c r="D60">
        <v>1</v>
      </c>
      <c r="E60">
        <v>2</v>
      </c>
      <c r="F60">
        <v>8</v>
      </c>
      <c r="G60">
        <v>28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54.0555555555555</v>
      </c>
      <c r="P60">
        <v>54.0555555555555</v>
      </c>
      <c r="Q60">
        <v>0</v>
      </c>
      <c r="R60">
        <v>55.965000000000003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s="1">
        <v>45373.107523148145</v>
      </c>
      <c r="B61" s="2">
        <v>45351</v>
      </c>
      <c r="C61">
        <v>2024</v>
      </c>
      <c r="D61">
        <v>1</v>
      </c>
      <c r="E61">
        <v>2</v>
      </c>
      <c r="F61">
        <v>8</v>
      </c>
      <c r="G61">
        <v>29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54.0555555555555</v>
      </c>
      <c r="P61">
        <v>54.0555555555555</v>
      </c>
      <c r="Q61">
        <v>0</v>
      </c>
      <c r="R61">
        <v>55.965000000000003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s="1">
        <v>45373.107523148145</v>
      </c>
      <c r="B62" s="2">
        <v>45352</v>
      </c>
      <c r="C62">
        <v>2024</v>
      </c>
      <c r="D62">
        <v>1</v>
      </c>
      <c r="E62">
        <v>3</v>
      </c>
      <c r="F62">
        <v>8</v>
      </c>
      <c r="G62">
        <v>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54.0555555555555</v>
      </c>
      <c r="P62">
        <v>54.0555555555555</v>
      </c>
      <c r="Q62">
        <v>0</v>
      </c>
      <c r="R62">
        <v>55.965000000000003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s="1">
        <v>45373.107523148145</v>
      </c>
      <c r="B63" s="2">
        <v>45353</v>
      </c>
      <c r="C63">
        <v>2024</v>
      </c>
      <c r="D63">
        <v>1</v>
      </c>
      <c r="E63">
        <v>3</v>
      </c>
      <c r="F63">
        <v>8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54.0555555555555</v>
      </c>
      <c r="P63">
        <v>54.0555555555555</v>
      </c>
      <c r="Q63">
        <v>0</v>
      </c>
      <c r="R63">
        <v>55.965000000000003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s="1">
        <v>45373.107523148145</v>
      </c>
      <c r="B64" s="2">
        <v>45354</v>
      </c>
      <c r="C64">
        <v>2024</v>
      </c>
      <c r="D64">
        <v>1</v>
      </c>
      <c r="E64">
        <v>3</v>
      </c>
      <c r="F64">
        <v>9</v>
      </c>
      <c r="G64">
        <v>3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54.0555555555555</v>
      </c>
      <c r="P64">
        <v>54.0555555555555</v>
      </c>
      <c r="Q64">
        <v>0</v>
      </c>
      <c r="R64">
        <v>55.965000000000003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s="1">
        <v>45373.107523148145</v>
      </c>
      <c r="B65" s="2">
        <v>45355</v>
      </c>
      <c r="C65">
        <v>2024</v>
      </c>
      <c r="D65">
        <v>1</v>
      </c>
      <c r="E65">
        <v>3</v>
      </c>
      <c r="F65">
        <v>9</v>
      </c>
      <c r="G65">
        <v>4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54.0555555555555</v>
      </c>
      <c r="P65">
        <v>54.0555555555555</v>
      </c>
      <c r="Q65">
        <v>0</v>
      </c>
      <c r="R65">
        <v>55.965000000000003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s="1">
        <v>45373.107523148145</v>
      </c>
      <c r="B66" s="2">
        <v>45356</v>
      </c>
      <c r="C66">
        <v>2024</v>
      </c>
      <c r="D66">
        <v>1</v>
      </c>
      <c r="E66">
        <v>3</v>
      </c>
      <c r="F66">
        <v>9</v>
      </c>
      <c r="G66">
        <v>5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54.0555555555555</v>
      </c>
      <c r="P66">
        <v>54.0555555555555</v>
      </c>
      <c r="Q66">
        <v>0</v>
      </c>
      <c r="R66">
        <v>55.965000000000003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s="1">
        <v>45373.107523148145</v>
      </c>
      <c r="B67" s="2">
        <v>45357</v>
      </c>
      <c r="C67">
        <v>2024</v>
      </c>
      <c r="D67">
        <v>1</v>
      </c>
      <c r="E67">
        <v>3</v>
      </c>
      <c r="F67">
        <v>9</v>
      </c>
      <c r="G67">
        <v>6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54.0555555555555</v>
      </c>
      <c r="P67">
        <v>54.0555555555555</v>
      </c>
      <c r="Q67">
        <v>0</v>
      </c>
      <c r="R67">
        <v>55.965000000000003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s="1">
        <v>45373.107523148145</v>
      </c>
      <c r="B68" s="2">
        <v>45358</v>
      </c>
      <c r="C68">
        <v>2024</v>
      </c>
      <c r="D68">
        <v>1</v>
      </c>
      <c r="E68">
        <v>3</v>
      </c>
      <c r="F68">
        <v>9</v>
      </c>
      <c r="G68">
        <v>7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54.0555555555555</v>
      </c>
      <c r="P68">
        <v>54.0555555555555</v>
      </c>
      <c r="Q68">
        <v>0</v>
      </c>
      <c r="R68">
        <v>55.965000000000003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s="1">
        <v>45373.107523148145</v>
      </c>
      <c r="B69" s="2">
        <v>45359</v>
      </c>
      <c r="C69">
        <v>2024</v>
      </c>
      <c r="D69">
        <v>1</v>
      </c>
      <c r="E69">
        <v>3</v>
      </c>
      <c r="F69">
        <v>9</v>
      </c>
      <c r="G69">
        <v>8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54.0555555555555</v>
      </c>
      <c r="P69">
        <v>54.0555555555555</v>
      </c>
      <c r="Q69">
        <v>0</v>
      </c>
      <c r="R69">
        <v>55.965000000000003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s="1">
        <v>45373.107523148145</v>
      </c>
      <c r="B70" s="2">
        <v>45360</v>
      </c>
      <c r="C70">
        <v>2024</v>
      </c>
      <c r="D70">
        <v>1</v>
      </c>
      <c r="E70">
        <v>3</v>
      </c>
      <c r="F70">
        <v>9</v>
      </c>
      <c r="G70">
        <v>9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54.0555555555555</v>
      </c>
      <c r="P70">
        <v>54.0555555555555</v>
      </c>
      <c r="Q70">
        <v>0</v>
      </c>
      <c r="R70">
        <v>55.965000000000003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s="1">
        <v>45373.107523148145</v>
      </c>
      <c r="B71" s="2">
        <v>45361</v>
      </c>
      <c r="C71">
        <v>2024</v>
      </c>
      <c r="D71">
        <v>1</v>
      </c>
      <c r="E71">
        <v>3</v>
      </c>
      <c r="F71">
        <v>10</v>
      </c>
      <c r="G71">
        <v>10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54.0555555555555</v>
      </c>
      <c r="P71">
        <v>54.0555555555555</v>
      </c>
      <c r="Q71">
        <v>0</v>
      </c>
      <c r="R71">
        <v>55.965000000000003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s="1">
        <v>45373.107523148145</v>
      </c>
      <c r="B72" s="2">
        <v>45362</v>
      </c>
      <c r="C72">
        <v>2024</v>
      </c>
      <c r="D72">
        <v>1</v>
      </c>
      <c r="E72">
        <v>3</v>
      </c>
      <c r="F72">
        <v>10</v>
      </c>
      <c r="G72">
        <v>11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54.0555555555555</v>
      </c>
      <c r="P72">
        <v>54.0555555555555</v>
      </c>
      <c r="Q72">
        <v>0</v>
      </c>
      <c r="R72">
        <v>55.965000000000003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s="1">
        <v>45373.107523148145</v>
      </c>
      <c r="B73" s="2">
        <v>45363</v>
      </c>
      <c r="C73">
        <v>2024</v>
      </c>
      <c r="D73">
        <v>1</v>
      </c>
      <c r="E73">
        <v>3</v>
      </c>
      <c r="F73">
        <v>10</v>
      </c>
      <c r="G73">
        <v>12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54.0555555555555</v>
      </c>
      <c r="P73">
        <v>54.0555555555555</v>
      </c>
      <c r="Q73">
        <v>0</v>
      </c>
      <c r="R73">
        <v>55.965000000000003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s="1">
        <v>45373.107523148145</v>
      </c>
      <c r="B74" s="2">
        <v>45364</v>
      </c>
      <c r="C74">
        <v>2024</v>
      </c>
      <c r="D74">
        <v>1</v>
      </c>
      <c r="E74">
        <v>3</v>
      </c>
      <c r="F74">
        <v>10</v>
      </c>
      <c r="G74">
        <v>13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54.0555555555555</v>
      </c>
      <c r="P74">
        <v>54.0555555555555</v>
      </c>
      <c r="Q74">
        <v>0</v>
      </c>
      <c r="R74">
        <v>55.965000000000003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s="1">
        <v>45373.107523148145</v>
      </c>
      <c r="B75" s="2">
        <v>45365</v>
      </c>
      <c r="C75">
        <v>2024</v>
      </c>
      <c r="D75">
        <v>1</v>
      </c>
      <c r="E75">
        <v>3</v>
      </c>
      <c r="F75">
        <v>10</v>
      </c>
      <c r="G75">
        <v>14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54.0555555555555</v>
      </c>
      <c r="P75">
        <v>54.0555555555555</v>
      </c>
      <c r="Q75">
        <v>0</v>
      </c>
      <c r="R75">
        <v>55.965000000000003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s="1">
        <v>45373.107523148145</v>
      </c>
      <c r="B76" s="2">
        <v>45366</v>
      </c>
      <c r="C76">
        <v>2024</v>
      </c>
      <c r="D76">
        <v>1</v>
      </c>
      <c r="E76">
        <v>3</v>
      </c>
      <c r="F76">
        <v>10</v>
      </c>
      <c r="G76">
        <v>15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54.0555555555555</v>
      </c>
      <c r="P76">
        <v>54.0555555555555</v>
      </c>
      <c r="Q76">
        <v>0</v>
      </c>
      <c r="R76">
        <v>55.965000000000003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s="1">
        <v>45373.107523148145</v>
      </c>
      <c r="B77" s="2">
        <v>45367</v>
      </c>
      <c r="C77">
        <v>2024</v>
      </c>
      <c r="D77">
        <v>1</v>
      </c>
      <c r="E77">
        <v>3</v>
      </c>
      <c r="F77">
        <v>10</v>
      </c>
      <c r="G77">
        <v>16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54.0555555555555</v>
      </c>
      <c r="P77">
        <v>54.0555555555555</v>
      </c>
      <c r="Q77">
        <v>0</v>
      </c>
      <c r="R77">
        <v>55.965000000000003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s="1">
        <v>45373.107523148145</v>
      </c>
      <c r="B78" s="2">
        <v>45368</v>
      </c>
      <c r="C78">
        <v>2024</v>
      </c>
      <c r="D78">
        <v>1</v>
      </c>
      <c r="E78">
        <v>3</v>
      </c>
      <c r="F78">
        <v>11</v>
      </c>
      <c r="G78">
        <v>17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54.0555555555555</v>
      </c>
      <c r="P78">
        <v>54.0555555555555</v>
      </c>
      <c r="Q78">
        <v>0</v>
      </c>
      <c r="R78">
        <v>55.965000000000003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s="1">
        <v>45373.107523148145</v>
      </c>
      <c r="B79" s="2">
        <v>45369</v>
      </c>
      <c r="C79">
        <v>2024</v>
      </c>
      <c r="D79">
        <v>1</v>
      </c>
      <c r="E79">
        <v>3</v>
      </c>
      <c r="F79">
        <v>11</v>
      </c>
      <c r="G79">
        <v>18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54.0555555555555</v>
      </c>
      <c r="P79">
        <v>54.0555555555555</v>
      </c>
      <c r="Q79">
        <v>0</v>
      </c>
      <c r="R79">
        <v>55.965000000000003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s="1">
        <v>45373.107523148145</v>
      </c>
      <c r="B80" s="2">
        <v>45370</v>
      </c>
      <c r="C80">
        <v>2024</v>
      </c>
      <c r="D80">
        <v>1</v>
      </c>
      <c r="E80">
        <v>3</v>
      </c>
      <c r="F80">
        <v>11</v>
      </c>
      <c r="G80">
        <v>19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54.0555555555555</v>
      </c>
      <c r="P80">
        <v>54.0555555555555</v>
      </c>
      <c r="Q80">
        <v>0</v>
      </c>
      <c r="R80">
        <v>55.965000000000003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s="1">
        <v>45373.107523148145</v>
      </c>
      <c r="B81" s="2">
        <v>45371</v>
      </c>
      <c r="C81">
        <v>2024</v>
      </c>
      <c r="D81">
        <v>1</v>
      </c>
      <c r="E81">
        <v>3</v>
      </c>
      <c r="F81">
        <v>11</v>
      </c>
      <c r="G81">
        <v>20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54.0555555555555</v>
      </c>
      <c r="P81">
        <v>54.0555555555555</v>
      </c>
      <c r="Q81">
        <v>0</v>
      </c>
      <c r="R81">
        <v>55.965000000000003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s="1">
        <v>45373.107523148145</v>
      </c>
      <c r="B82" s="2">
        <v>45372</v>
      </c>
      <c r="C82">
        <v>2024</v>
      </c>
      <c r="D82">
        <v>1</v>
      </c>
      <c r="E82">
        <v>3</v>
      </c>
      <c r="F82">
        <v>11</v>
      </c>
      <c r="G82">
        <v>21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54.0555555555555</v>
      </c>
      <c r="P82">
        <v>54.0555555555555</v>
      </c>
      <c r="Q82">
        <v>0</v>
      </c>
      <c r="R82">
        <v>55.965000000000003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s="1">
        <v>45373.107523148145</v>
      </c>
      <c r="B83" s="2">
        <v>45373</v>
      </c>
      <c r="C83">
        <v>2024</v>
      </c>
      <c r="D83">
        <v>1</v>
      </c>
      <c r="E83">
        <v>3</v>
      </c>
      <c r="F83">
        <v>11</v>
      </c>
      <c r="G83">
        <v>22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54.0555555555555</v>
      </c>
      <c r="P83">
        <v>54.0555555555555</v>
      </c>
      <c r="Q83">
        <v>0</v>
      </c>
      <c r="R83">
        <v>55.965000000000003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 s="1">
        <v>45373.107523148145</v>
      </c>
      <c r="B84" s="2">
        <v>45374</v>
      </c>
      <c r="C84">
        <v>2024</v>
      </c>
      <c r="D84">
        <v>1</v>
      </c>
      <c r="E84">
        <v>3</v>
      </c>
      <c r="F84">
        <v>11</v>
      </c>
      <c r="G84">
        <v>23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54.0555555555555</v>
      </c>
      <c r="P84">
        <v>54.0555555555555</v>
      </c>
      <c r="Q84">
        <v>0</v>
      </c>
      <c r="R84">
        <v>55.965000000000003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s="1">
        <v>45373.107523148145</v>
      </c>
      <c r="B85" s="2">
        <v>45375</v>
      </c>
      <c r="C85">
        <v>2024</v>
      </c>
      <c r="D85">
        <v>1</v>
      </c>
      <c r="E85">
        <v>3</v>
      </c>
      <c r="F85">
        <v>12</v>
      </c>
      <c r="G85">
        <v>24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54.0555555555555</v>
      </c>
      <c r="P85">
        <v>54.0555555555555</v>
      </c>
      <c r="Q85">
        <v>0</v>
      </c>
      <c r="R85">
        <v>55.965000000000003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 s="1">
        <v>45373.107523148145</v>
      </c>
      <c r="B86" s="2">
        <v>45376</v>
      </c>
      <c r="C86">
        <v>2024</v>
      </c>
      <c r="D86">
        <v>1</v>
      </c>
      <c r="E86">
        <v>3</v>
      </c>
      <c r="F86">
        <v>12</v>
      </c>
      <c r="G86">
        <v>25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54.0555555555555</v>
      </c>
      <c r="P86">
        <v>54.0555555555555</v>
      </c>
      <c r="Q86">
        <v>0</v>
      </c>
      <c r="R86">
        <v>55.965000000000003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s="1">
        <v>45373.107523148145</v>
      </c>
      <c r="B87" s="2">
        <v>45377</v>
      </c>
      <c r="C87">
        <v>2024</v>
      </c>
      <c r="D87">
        <v>1</v>
      </c>
      <c r="E87">
        <v>3</v>
      </c>
      <c r="F87">
        <v>12</v>
      </c>
      <c r="G87">
        <v>26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54.0555555555555</v>
      </c>
      <c r="P87">
        <v>54.0555555555555</v>
      </c>
      <c r="Q87">
        <v>0</v>
      </c>
      <c r="R87">
        <v>55.965000000000003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s="1">
        <v>45373.107523148145</v>
      </c>
      <c r="B88" s="2">
        <v>45378</v>
      </c>
      <c r="C88">
        <v>2024</v>
      </c>
      <c r="D88">
        <v>1</v>
      </c>
      <c r="E88">
        <v>3</v>
      </c>
      <c r="F88">
        <v>12</v>
      </c>
      <c r="G88">
        <v>27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54.0555555555555</v>
      </c>
      <c r="P88">
        <v>54.0555555555555</v>
      </c>
      <c r="Q88">
        <v>0</v>
      </c>
      <c r="R88">
        <v>55.965000000000003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s="1">
        <v>45373.107523148145</v>
      </c>
      <c r="B89" s="2">
        <v>45379</v>
      </c>
      <c r="C89">
        <v>2024</v>
      </c>
      <c r="D89">
        <v>1</v>
      </c>
      <c r="E89">
        <v>3</v>
      </c>
      <c r="F89">
        <v>12</v>
      </c>
      <c r="G89">
        <v>28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54.0555555555555</v>
      </c>
      <c r="P89">
        <v>54.0555555555555</v>
      </c>
      <c r="Q89">
        <v>0</v>
      </c>
      <c r="R89">
        <v>55.965000000000003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25">
      <c r="A90" s="1">
        <v>45373.107523148145</v>
      </c>
      <c r="B90" s="2">
        <v>45380</v>
      </c>
      <c r="C90">
        <v>2024</v>
      </c>
      <c r="D90">
        <v>1</v>
      </c>
      <c r="E90">
        <v>3</v>
      </c>
      <c r="F90">
        <v>12</v>
      </c>
      <c r="G90">
        <v>29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54.0555555555555</v>
      </c>
      <c r="P90">
        <v>54.0555555555555</v>
      </c>
      <c r="Q90">
        <v>0</v>
      </c>
      <c r="R90">
        <v>55.965000000000003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s="1">
        <v>45373.107523148145</v>
      </c>
      <c r="B91" s="2">
        <v>45381</v>
      </c>
      <c r="C91">
        <v>2024</v>
      </c>
      <c r="D91">
        <v>1</v>
      </c>
      <c r="E91">
        <v>3</v>
      </c>
      <c r="F91">
        <v>12</v>
      </c>
      <c r="G91">
        <v>30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54.0555555555555</v>
      </c>
      <c r="P91">
        <v>54.0555555555555</v>
      </c>
      <c r="Q91">
        <v>0</v>
      </c>
      <c r="R91">
        <v>55.965000000000003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s="1">
        <v>45373.107523148145</v>
      </c>
      <c r="B92" s="2">
        <v>45382</v>
      </c>
      <c r="C92">
        <v>2024</v>
      </c>
      <c r="D92">
        <v>1</v>
      </c>
      <c r="E92">
        <v>3</v>
      </c>
      <c r="F92">
        <v>13</v>
      </c>
      <c r="G92">
        <v>31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54.0555555555555</v>
      </c>
      <c r="P92">
        <v>54.0555555555555</v>
      </c>
      <c r="Q92">
        <v>0</v>
      </c>
      <c r="R92">
        <v>55.965000000000003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s="1">
        <v>45373.107523148145</v>
      </c>
      <c r="B93" s="2">
        <v>45383</v>
      </c>
      <c r="C93">
        <v>2024</v>
      </c>
      <c r="D93">
        <v>2</v>
      </c>
      <c r="E93">
        <v>4</v>
      </c>
      <c r="F93">
        <v>13</v>
      </c>
      <c r="G93">
        <v>1</v>
      </c>
      <c r="H93">
        <v>1</v>
      </c>
      <c r="I93">
        <v>0.80969999999999998</v>
      </c>
      <c r="J93">
        <v>0</v>
      </c>
      <c r="K93">
        <v>0</v>
      </c>
      <c r="L93">
        <v>1</v>
      </c>
      <c r="M93">
        <v>0</v>
      </c>
      <c r="N93">
        <v>1</v>
      </c>
      <c r="O93">
        <v>43.768783333333303</v>
      </c>
      <c r="P93">
        <v>43.768783333333303</v>
      </c>
      <c r="Q93">
        <v>0</v>
      </c>
      <c r="R93">
        <v>55.965000000000003</v>
      </c>
      <c r="S93">
        <v>0.80969999999999998</v>
      </c>
      <c r="T93">
        <v>0</v>
      </c>
      <c r="U93">
        <v>0</v>
      </c>
      <c r="V93">
        <v>0</v>
      </c>
      <c r="W93">
        <v>0.80969999999999998</v>
      </c>
      <c r="X93">
        <v>0</v>
      </c>
      <c r="Y93">
        <v>0.80969999999999998</v>
      </c>
      <c r="Z93">
        <v>0</v>
      </c>
      <c r="AA93">
        <v>0.80969999999999998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6" spans="1:35" x14ac:dyDescent="0.25">
      <c r="I96" s="5">
        <f>SUM(I3:I33)</f>
        <v>30.190300000000001</v>
      </c>
      <c r="M96" s="6">
        <f t="shared" ref="M96:R96" si="0">SUM(M3:M93)</f>
        <v>30</v>
      </c>
      <c r="N96" s="6">
        <f t="shared" si="0"/>
        <v>61</v>
      </c>
      <c r="O96" s="3">
        <f t="shared" si="0"/>
        <v>4865.0000000000018</v>
      </c>
      <c r="P96" s="3">
        <f t="shared" si="0"/>
        <v>4865.0000000000018</v>
      </c>
      <c r="Q96" s="3">
        <f t="shared" si="0"/>
        <v>1507.0999999999974</v>
      </c>
      <c r="R96" s="3">
        <f t="shared" si="0"/>
        <v>3357.9000000000024</v>
      </c>
    </row>
    <row r="97" spans="15:18" x14ac:dyDescent="0.25">
      <c r="O97" s="3">
        <f>summary!T2</f>
        <v>4865</v>
      </c>
      <c r="P97" s="3">
        <f>summary!U2</f>
        <v>4865</v>
      </c>
      <c r="Q97" s="3">
        <f>summary!V2</f>
        <v>1507.1</v>
      </c>
      <c r="R97" s="3">
        <f>summary!W2</f>
        <v>3357.9</v>
      </c>
    </row>
    <row r="98" spans="15:18" x14ac:dyDescent="0.25">
      <c r="O98" s="3">
        <f>O97-O96</f>
        <v>0</v>
      </c>
      <c r="P98" s="3">
        <f t="shared" ref="P98:R98" si="1">P97-P96</f>
        <v>0</v>
      </c>
      <c r="Q98" s="3">
        <f t="shared" si="1"/>
        <v>2.5011104298755527E-12</v>
      </c>
      <c r="R98" s="3">
        <f t="shared" si="1"/>
        <v>0</v>
      </c>
    </row>
    <row r="100" spans="15:18" x14ac:dyDescent="0.25">
      <c r="Q100">
        <f>Q3</f>
        <v>48.616129032258002</v>
      </c>
      <c r="R100">
        <f>R92-R93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9"/>
  <sheetViews>
    <sheetView zoomScale="75" zoomScaleNormal="75" workbookViewId="0">
      <pane xSplit="2" ySplit="8" topLeftCell="C46" activePane="bottomRight" state="frozen"/>
      <selection pane="topRight" activeCell="C1" sqref="C1"/>
      <selection pane="bottomLeft" activeCell="A9" sqref="A9"/>
      <selection pane="bottomRight" activeCell="P7" sqref="P7"/>
    </sheetView>
  </sheetViews>
  <sheetFormatPr defaultRowHeight="15" x14ac:dyDescent="0.25"/>
  <cols>
    <col min="16" max="16" width="13.140625" customWidth="1"/>
    <col min="17" max="17" width="15.28515625" customWidth="1"/>
  </cols>
  <sheetData>
    <row r="1" spans="1:35" x14ac:dyDescent="0.25">
      <c r="A1" t="s">
        <v>21</v>
      </c>
      <c r="B1" t="s">
        <v>79</v>
      </c>
      <c r="C1" t="s">
        <v>0</v>
      </c>
      <c r="D1" t="s">
        <v>78</v>
      </c>
      <c r="E1" t="s">
        <v>1</v>
      </c>
      <c r="F1" t="s">
        <v>77</v>
      </c>
      <c r="G1" t="s">
        <v>2</v>
      </c>
      <c r="H1" t="s">
        <v>7</v>
      </c>
      <c r="I1" t="s">
        <v>6</v>
      </c>
      <c r="J1" t="s">
        <v>3</v>
      </c>
      <c r="K1" t="s">
        <v>4</v>
      </c>
      <c r="L1" t="s">
        <v>5</v>
      </c>
      <c r="M1" t="s">
        <v>76</v>
      </c>
      <c r="N1" t="s">
        <v>75</v>
      </c>
      <c r="O1" t="s">
        <v>74</v>
      </c>
      <c r="P1" t="s">
        <v>73</v>
      </c>
      <c r="Q1" t="s">
        <v>72</v>
      </c>
      <c r="R1" t="s">
        <v>71</v>
      </c>
      <c r="S1" t="s">
        <v>70</v>
      </c>
      <c r="T1" t="s">
        <v>69</v>
      </c>
      <c r="U1" t="s">
        <v>68</v>
      </c>
      <c r="V1" t="s">
        <v>67</v>
      </c>
      <c r="W1" t="s">
        <v>66</v>
      </c>
      <c r="X1" t="s">
        <v>65</v>
      </c>
      <c r="Y1" t="s">
        <v>64</v>
      </c>
      <c r="Z1" t="s">
        <v>63</v>
      </c>
      <c r="AA1" t="s">
        <v>62</v>
      </c>
      <c r="AB1" t="s">
        <v>61</v>
      </c>
      <c r="AC1" t="s">
        <v>60</v>
      </c>
      <c r="AD1" t="s">
        <v>59</v>
      </c>
      <c r="AE1" t="s">
        <v>58</v>
      </c>
      <c r="AF1" t="s">
        <v>57</v>
      </c>
      <c r="AG1" t="s">
        <v>56</v>
      </c>
      <c r="AH1" t="s">
        <v>55</v>
      </c>
      <c r="AI1" t="s">
        <v>54</v>
      </c>
    </row>
    <row r="2" spans="1:35" x14ac:dyDescent="0.25">
      <c r="A2" s="1">
        <v>45373.110231481478</v>
      </c>
      <c r="B2" s="2">
        <v>45317</v>
      </c>
      <c r="C2">
        <v>2024</v>
      </c>
      <c r="D2">
        <v>1</v>
      </c>
      <c r="E2">
        <v>1</v>
      </c>
      <c r="F2">
        <v>3</v>
      </c>
      <c r="G2">
        <v>26</v>
      </c>
      <c r="H2">
        <v>1</v>
      </c>
      <c r="I2">
        <v>0.21879999999999999</v>
      </c>
      <c r="J2">
        <v>1</v>
      </c>
      <c r="K2">
        <v>1</v>
      </c>
      <c r="L2">
        <v>0</v>
      </c>
      <c r="M2">
        <v>1</v>
      </c>
      <c r="N2">
        <v>0</v>
      </c>
      <c r="O2">
        <v>27.267907311802102</v>
      </c>
      <c r="P2">
        <v>26.903050919811601</v>
      </c>
      <c r="Q2">
        <v>125.018459677419</v>
      </c>
      <c r="R2">
        <v>0</v>
      </c>
      <c r="S2">
        <v>0</v>
      </c>
      <c r="T2">
        <v>0.21879999999999999</v>
      </c>
      <c r="U2">
        <v>0</v>
      </c>
      <c r="V2">
        <v>0</v>
      </c>
      <c r="W2">
        <v>0</v>
      </c>
      <c r="X2">
        <v>0.21879999999999999</v>
      </c>
      <c r="Y2">
        <v>0.21879999999999999</v>
      </c>
      <c r="Z2">
        <v>0</v>
      </c>
      <c r="AA2">
        <v>0.21879999999999999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s="1">
        <v>45373.110231481478</v>
      </c>
      <c r="B3" s="2">
        <v>45318</v>
      </c>
      <c r="C3">
        <v>2024</v>
      </c>
      <c r="D3">
        <v>1</v>
      </c>
      <c r="E3">
        <v>1</v>
      </c>
      <c r="F3">
        <v>3</v>
      </c>
      <c r="G3">
        <v>27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124.624804898547</v>
      </c>
      <c r="P3">
        <v>122.95727111431199</v>
      </c>
      <c r="Q3">
        <v>125.018459677419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s="1">
        <v>45373.110231481478</v>
      </c>
      <c r="B4" s="2">
        <v>45319</v>
      </c>
      <c r="C4">
        <v>2024</v>
      </c>
      <c r="D4">
        <v>1</v>
      </c>
      <c r="E4">
        <v>1</v>
      </c>
      <c r="F4">
        <v>4</v>
      </c>
      <c r="G4">
        <v>28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124.624804898547</v>
      </c>
      <c r="P4">
        <v>122.95727111431199</v>
      </c>
      <c r="Q4">
        <v>125.018459677419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s="1">
        <v>45373.110231481478</v>
      </c>
      <c r="B5" s="2">
        <v>45320</v>
      </c>
      <c r="C5">
        <v>2024</v>
      </c>
      <c r="D5">
        <v>1</v>
      </c>
      <c r="E5">
        <v>1</v>
      </c>
      <c r="F5">
        <v>4</v>
      </c>
      <c r="G5">
        <v>29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124.624804898547</v>
      </c>
      <c r="P5">
        <v>122.95727111431199</v>
      </c>
      <c r="Q5">
        <v>125.018459677419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s="1">
        <v>45373.110231481478</v>
      </c>
      <c r="B6" s="2">
        <v>45321</v>
      </c>
      <c r="C6">
        <v>2024</v>
      </c>
      <c r="D6">
        <v>1</v>
      </c>
      <c r="E6">
        <v>1</v>
      </c>
      <c r="F6">
        <v>4</v>
      </c>
      <c r="G6">
        <v>30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124.624804898547</v>
      </c>
      <c r="P6">
        <v>122.95727111431199</v>
      </c>
      <c r="Q6">
        <v>125.018459677419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s="1">
        <v>45373.110231481478</v>
      </c>
      <c r="B7" s="2">
        <v>45322</v>
      </c>
      <c r="C7">
        <v>2024</v>
      </c>
      <c r="D7">
        <v>1</v>
      </c>
      <c r="E7">
        <v>1</v>
      </c>
      <c r="F7">
        <v>4</v>
      </c>
      <c r="G7">
        <v>31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124.624804898547</v>
      </c>
      <c r="P7">
        <v>122.95727111431199</v>
      </c>
      <c r="Q7">
        <v>125.018459677419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s="1">
        <v>45373.110231481478</v>
      </c>
      <c r="B8" s="2">
        <v>45323</v>
      </c>
      <c r="C8">
        <v>2024</v>
      </c>
      <c r="D8">
        <v>1</v>
      </c>
      <c r="E8">
        <v>2</v>
      </c>
      <c r="F8">
        <v>4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124.624804898547</v>
      </c>
      <c r="P8">
        <v>122.95727111431199</v>
      </c>
      <c r="Q8">
        <v>125.018459677419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s="1">
        <v>45373.110231481478</v>
      </c>
      <c r="B9" s="2">
        <v>45324</v>
      </c>
      <c r="C9">
        <v>2024</v>
      </c>
      <c r="D9">
        <v>1</v>
      </c>
      <c r="E9">
        <v>2</v>
      </c>
      <c r="F9">
        <v>4</v>
      </c>
      <c r="G9">
        <v>2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124.624804898547</v>
      </c>
      <c r="P9">
        <v>122.95727111431199</v>
      </c>
      <c r="Q9">
        <v>125.018459677419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s="1">
        <v>45373.110231481478</v>
      </c>
      <c r="B10" s="2">
        <v>45325</v>
      </c>
      <c r="C10">
        <v>2024</v>
      </c>
      <c r="D10">
        <v>1</v>
      </c>
      <c r="E10">
        <v>2</v>
      </c>
      <c r="F10">
        <v>4</v>
      </c>
      <c r="G10">
        <v>3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124.624804898547</v>
      </c>
      <c r="P10">
        <v>122.95727111431199</v>
      </c>
      <c r="Q10">
        <v>125.018459677419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s="1">
        <v>45373.110231481478</v>
      </c>
      <c r="B11" s="2">
        <v>45326</v>
      </c>
      <c r="C11">
        <v>2024</v>
      </c>
      <c r="D11">
        <v>1</v>
      </c>
      <c r="E11">
        <v>2</v>
      </c>
      <c r="F11">
        <v>5</v>
      </c>
      <c r="G11">
        <v>4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124.624804898547</v>
      </c>
      <c r="P11">
        <v>122.95727111431199</v>
      </c>
      <c r="Q11">
        <v>125.018459677419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s="1">
        <v>45373.110231481478</v>
      </c>
      <c r="B12" s="2">
        <v>45327</v>
      </c>
      <c r="C12">
        <v>2024</v>
      </c>
      <c r="D12">
        <v>1</v>
      </c>
      <c r="E12">
        <v>2</v>
      </c>
      <c r="F12">
        <v>5</v>
      </c>
      <c r="G12">
        <v>5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124.624804898547</v>
      </c>
      <c r="P12">
        <v>122.95727111431199</v>
      </c>
      <c r="Q12">
        <v>125.018459677419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1">
        <v>45373.110231481478</v>
      </c>
      <c r="B13" s="2">
        <v>45328</v>
      </c>
      <c r="C13">
        <v>2024</v>
      </c>
      <c r="D13">
        <v>1</v>
      </c>
      <c r="E13">
        <v>2</v>
      </c>
      <c r="F13">
        <v>5</v>
      </c>
      <c r="G13">
        <v>6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124.624804898547</v>
      </c>
      <c r="P13">
        <v>122.95727111431199</v>
      </c>
      <c r="Q13">
        <v>125.018459677419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s="1">
        <v>45373.110231481478</v>
      </c>
      <c r="B14" s="2">
        <v>45329</v>
      </c>
      <c r="C14">
        <v>2024</v>
      </c>
      <c r="D14">
        <v>1</v>
      </c>
      <c r="E14">
        <v>2</v>
      </c>
      <c r="F14">
        <v>5</v>
      </c>
      <c r="G14">
        <v>7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124.624804898547</v>
      </c>
      <c r="P14">
        <v>122.95727111431199</v>
      </c>
      <c r="Q14">
        <v>125.018459677419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s="1">
        <v>45373.110231481478</v>
      </c>
      <c r="B15" s="2">
        <v>45330</v>
      </c>
      <c r="C15">
        <v>2024</v>
      </c>
      <c r="D15">
        <v>1</v>
      </c>
      <c r="E15">
        <v>2</v>
      </c>
      <c r="F15">
        <v>5</v>
      </c>
      <c r="G15">
        <v>8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124.624804898547</v>
      </c>
      <c r="P15">
        <v>122.95727111431199</v>
      </c>
      <c r="Q15">
        <v>125.018459677419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s="1">
        <v>45373.110231481478</v>
      </c>
      <c r="B16" s="2">
        <v>45331</v>
      </c>
      <c r="C16">
        <v>2024</v>
      </c>
      <c r="D16">
        <v>1</v>
      </c>
      <c r="E16">
        <v>2</v>
      </c>
      <c r="F16">
        <v>5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124.624804898547</v>
      </c>
      <c r="P16">
        <v>122.95727111431199</v>
      </c>
      <c r="Q16">
        <v>125.018459677419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s="1">
        <v>45373.110231481478</v>
      </c>
      <c r="B17" s="2">
        <v>45332</v>
      </c>
      <c r="C17">
        <v>2024</v>
      </c>
      <c r="D17">
        <v>1</v>
      </c>
      <c r="E17">
        <v>2</v>
      </c>
      <c r="F17">
        <v>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124.624804898547</v>
      </c>
      <c r="P17">
        <v>122.95727111431199</v>
      </c>
      <c r="Q17">
        <v>125.018459677419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s="1">
        <v>45373.110231481478</v>
      </c>
      <c r="B18" s="2">
        <v>45333</v>
      </c>
      <c r="C18">
        <v>2024</v>
      </c>
      <c r="D18">
        <v>1</v>
      </c>
      <c r="E18">
        <v>2</v>
      </c>
      <c r="F18">
        <v>6</v>
      </c>
      <c r="G18">
        <v>11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124.624804898547</v>
      </c>
      <c r="P18">
        <v>122.95727111431199</v>
      </c>
      <c r="Q18">
        <v>125.018459677419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s="1">
        <v>45373.110231481478</v>
      </c>
      <c r="B19" s="2">
        <v>45334</v>
      </c>
      <c r="C19">
        <v>2024</v>
      </c>
      <c r="D19">
        <v>1</v>
      </c>
      <c r="E19">
        <v>2</v>
      </c>
      <c r="F19">
        <v>6</v>
      </c>
      <c r="G19">
        <v>12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124.624804898547</v>
      </c>
      <c r="P19">
        <v>122.95727111431199</v>
      </c>
      <c r="Q19">
        <v>125.018459677419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s="1">
        <v>45373.110231481478</v>
      </c>
      <c r="B20" s="2">
        <v>45335</v>
      </c>
      <c r="C20">
        <v>2024</v>
      </c>
      <c r="D20">
        <v>1</v>
      </c>
      <c r="E20">
        <v>2</v>
      </c>
      <c r="F20">
        <v>6</v>
      </c>
      <c r="G20">
        <v>13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124.624804898547</v>
      </c>
      <c r="P20">
        <v>122.95727111431199</v>
      </c>
      <c r="Q20">
        <v>125.018459677419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s="1">
        <v>45373.110231481478</v>
      </c>
      <c r="B21" s="2">
        <v>45336</v>
      </c>
      <c r="C21">
        <v>2024</v>
      </c>
      <c r="D21">
        <v>1</v>
      </c>
      <c r="E21">
        <v>2</v>
      </c>
      <c r="F21">
        <v>6</v>
      </c>
      <c r="G21">
        <v>14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124.624804898547</v>
      </c>
      <c r="P21">
        <v>122.95727111431199</v>
      </c>
      <c r="Q21">
        <v>125.018459677419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s="1">
        <v>45373.110231481478</v>
      </c>
      <c r="B22" s="2">
        <v>45337</v>
      </c>
      <c r="C22">
        <v>2024</v>
      </c>
      <c r="D22">
        <v>1</v>
      </c>
      <c r="E22">
        <v>2</v>
      </c>
      <c r="F22">
        <v>6</v>
      </c>
      <c r="G22">
        <v>15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124.624804898547</v>
      </c>
      <c r="P22">
        <v>122.95727111431199</v>
      </c>
      <c r="Q22">
        <v>125.018459677419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s="1">
        <v>45373.110231481478</v>
      </c>
      <c r="B23" s="2">
        <v>45338</v>
      </c>
      <c r="C23">
        <v>2024</v>
      </c>
      <c r="D23">
        <v>1</v>
      </c>
      <c r="E23">
        <v>2</v>
      </c>
      <c r="F23">
        <v>6</v>
      </c>
      <c r="G23">
        <v>16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124.624804898547</v>
      </c>
      <c r="P23">
        <v>122.95727111431199</v>
      </c>
      <c r="Q23">
        <v>125.018459677419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s="1">
        <v>45373.110231481478</v>
      </c>
      <c r="B24" s="2">
        <v>45339</v>
      </c>
      <c r="C24">
        <v>2024</v>
      </c>
      <c r="D24">
        <v>1</v>
      </c>
      <c r="E24">
        <v>2</v>
      </c>
      <c r="F24">
        <v>6</v>
      </c>
      <c r="G24">
        <v>17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124.624804898547</v>
      </c>
      <c r="P24">
        <v>122.95727111431199</v>
      </c>
      <c r="Q24">
        <v>125.018459677419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s="1">
        <v>45373.110231481478</v>
      </c>
      <c r="B25" s="2">
        <v>45340</v>
      </c>
      <c r="C25">
        <v>2024</v>
      </c>
      <c r="D25">
        <v>1</v>
      </c>
      <c r="E25">
        <v>2</v>
      </c>
      <c r="F25">
        <v>7</v>
      </c>
      <c r="G25">
        <v>18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124.624804898547</v>
      </c>
      <c r="P25">
        <v>122.95727111431199</v>
      </c>
      <c r="Q25">
        <v>125.018459677419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s="1">
        <v>45373.110231481478</v>
      </c>
      <c r="B26" s="2">
        <v>45341</v>
      </c>
      <c r="C26">
        <v>2024</v>
      </c>
      <c r="D26">
        <v>1</v>
      </c>
      <c r="E26">
        <v>2</v>
      </c>
      <c r="F26">
        <v>7</v>
      </c>
      <c r="G26">
        <v>19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124.624804898547</v>
      </c>
      <c r="P26">
        <v>122.95727111431199</v>
      </c>
      <c r="Q26">
        <v>125.018459677419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s="1">
        <v>45373.110231481478</v>
      </c>
      <c r="B27" s="2">
        <v>45342</v>
      </c>
      <c r="C27">
        <v>2024</v>
      </c>
      <c r="D27">
        <v>1</v>
      </c>
      <c r="E27">
        <v>2</v>
      </c>
      <c r="F27">
        <v>7</v>
      </c>
      <c r="G27">
        <v>20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124.624804898547</v>
      </c>
      <c r="P27">
        <v>122.95727111431199</v>
      </c>
      <c r="Q27">
        <v>125.018459677419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s="1">
        <v>45373.110231481478</v>
      </c>
      <c r="B28" s="2">
        <v>45343</v>
      </c>
      <c r="C28">
        <v>2024</v>
      </c>
      <c r="D28">
        <v>1</v>
      </c>
      <c r="E28">
        <v>2</v>
      </c>
      <c r="F28">
        <v>7</v>
      </c>
      <c r="G28">
        <v>21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124.624804898547</v>
      </c>
      <c r="P28">
        <v>122.95727111431199</v>
      </c>
      <c r="Q28">
        <v>125.018459677419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s="1">
        <v>45373.110231481478</v>
      </c>
      <c r="B29" s="2">
        <v>45344</v>
      </c>
      <c r="C29">
        <v>2024</v>
      </c>
      <c r="D29">
        <v>1</v>
      </c>
      <c r="E29">
        <v>2</v>
      </c>
      <c r="F29">
        <v>7</v>
      </c>
      <c r="G29">
        <v>22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124.624804898547</v>
      </c>
      <c r="P29">
        <v>122.95727111431199</v>
      </c>
      <c r="Q29">
        <v>125.018459677419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s="1">
        <v>45373.110231481478</v>
      </c>
      <c r="B30" s="2">
        <v>45345</v>
      </c>
      <c r="C30">
        <v>2024</v>
      </c>
      <c r="D30">
        <v>1</v>
      </c>
      <c r="E30">
        <v>2</v>
      </c>
      <c r="F30">
        <v>7</v>
      </c>
      <c r="G30">
        <v>23</v>
      </c>
      <c r="H30">
        <v>1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124.624804898547</v>
      </c>
      <c r="P30">
        <v>122.95727111431199</v>
      </c>
      <c r="Q30">
        <v>125.018459677419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s="1">
        <v>45373.110231481478</v>
      </c>
      <c r="B31" s="2">
        <v>45346</v>
      </c>
      <c r="C31">
        <v>2024</v>
      </c>
      <c r="D31">
        <v>1</v>
      </c>
      <c r="E31">
        <v>2</v>
      </c>
      <c r="F31">
        <v>7</v>
      </c>
      <c r="G31">
        <v>24</v>
      </c>
      <c r="H31">
        <v>1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124.624804898547</v>
      </c>
      <c r="P31">
        <v>122.95727111431199</v>
      </c>
      <c r="Q31">
        <v>125.018459677419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s="1">
        <v>45373.110231481478</v>
      </c>
      <c r="B32" s="2">
        <v>45347</v>
      </c>
      <c r="C32">
        <v>2024</v>
      </c>
      <c r="D32">
        <v>1</v>
      </c>
      <c r="E32">
        <v>2</v>
      </c>
      <c r="F32">
        <v>8</v>
      </c>
      <c r="G32">
        <v>25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124.624804898547</v>
      </c>
      <c r="P32">
        <v>122.95727111431199</v>
      </c>
      <c r="Q32">
        <v>125.018459677419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s="1">
        <v>45373.110231481478</v>
      </c>
      <c r="B33" s="2">
        <v>45348</v>
      </c>
      <c r="C33">
        <v>2024</v>
      </c>
      <c r="D33">
        <v>1</v>
      </c>
      <c r="E33">
        <v>2</v>
      </c>
      <c r="F33">
        <v>8</v>
      </c>
      <c r="G33">
        <v>26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124.624804898547</v>
      </c>
      <c r="P33">
        <v>122.95727111431199</v>
      </c>
      <c r="Q33">
        <v>0</v>
      </c>
      <c r="R33">
        <v>116.600925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s="1">
        <v>45373.110231481478</v>
      </c>
      <c r="B34" s="2">
        <v>45349</v>
      </c>
      <c r="C34">
        <v>2024</v>
      </c>
      <c r="D34">
        <v>1</v>
      </c>
      <c r="E34">
        <v>2</v>
      </c>
      <c r="F34">
        <v>8</v>
      </c>
      <c r="G34">
        <v>27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124.624804898547</v>
      </c>
      <c r="P34">
        <v>122.95727111431199</v>
      </c>
      <c r="Q34">
        <v>0</v>
      </c>
      <c r="R34">
        <v>116.600925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s="1">
        <v>45373.110231481478</v>
      </c>
      <c r="B35" s="2">
        <v>45350</v>
      </c>
      <c r="C35">
        <v>2024</v>
      </c>
      <c r="D35">
        <v>1</v>
      </c>
      <c r="E35">
        <v>2</v>
      </c>
      <c r="F35">
        <v>8</v>
      </c>
      <c r="G35">
        <v>28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124.624804898547</v>
      </c>
      <c r="P35">
        <v>122.95727111431199</v>
      </c>
      <c r="Q35">
        <v>0</v>
      </c>
      <c r="R35">
        <v>116.600925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s="1">
        <v>45373.110231481478</v>
      </c>
      <c r="B36" s="2">
        <v>45351</v>
      </c>
      <c r="C36">
        <v>2024</v>
      </c>
      <c r="D36">
        <v>1</v>
      </c>
      <c r="E36">
        <v>2</v>
      </c>
      <c r="F36">
        <v>8</v>
      </c>
      <c r="G36">
        <v>29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124.624804898547</v>
      </c>
      <c r="P36">
        <v>122.95727111431199</v>
      </c>
      <c r="Q36">
        <v>0</v>
      </c>
      <c r="R36">
        <v>116.600925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s="1">
        <v>45373.110231481478</v>
      </c>
      <c r="B37" s="2">
        <v>45352</v>
      </c>
      <c r="C37">
        <v>2024</v>
      </c>
      <c r="D37">
        <v>1</v>
      </c>
      <c r="E37">
        <v>3</v>
      </c>
      <c r="F37">
        <v>8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124.624804898547</v>
      </c>
      <c r="P37">
        <v>122.95727111431199</v>
      </c>
      <c r="Q37">
        <v>0</v>
      </c>
      <c r="R37">
        <v>116.600925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s="1">
        <v>45373.110231481478</v>
      </c>
      <c r="B38" s="2">
        <v>45353</v>
      </c>
      <c r="C38">
        <v>2024</v>
      </c>
      <c r="D38">
        <v>1</v>
      </c>
      <c r="E38">
        <v>3</v>
      </c>
      <c r="F38">
        <v>8</v>
      </c>
      <c r="G38">
        <v>2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124.624804898547</v>
      </c>
      <c r="P38">
        <v>122.95727111431199</v>
      </c>
      <c r="Q38">
        <v>0</v>
      </c>
      <c r="R38">
        <v>116.600925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s="1">
        <v>45373.110231481478</v>
      </c>
      <c r="B39" s="2">
        <v>45354</v>
      </c>
      <c r="C39">
        <v>2024</v>
      </c>
      <c r="D39">
        <v>1</v>
      </c>
      <c r="E39">
        <v>3</v>
      </c>
      <c r="F39">
        <v>9</v>
      </c>
      <c r="G39">
        <v>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124.624804898547</v>
      </c>
      <c r="P39">
        <v>122.95727111431199</v>
      </c>
      <c r="Q39">
        <v>0</v>
      </c>
      <c r="R39">
        <v>116.600925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s="1">
        <v>45373.110231481478</v>
      </c>
      <c r="B40" s="2">
        <v>45355</v>
      </c>
      <c r="C40">
        <v>2024</v>
      </c>
      <c r="D40">
        <v>1</v>
      </c>
      <c r="E40">
        <v>3</v>
      </c>
      <c r="F40">
        <v>9</v>
      </c>
      <c r="G40">
        <v>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124.624804898547</v>
      </c>
      <c r="P40">
        <v>122.95727111431199</v>
      </c>
      <c r="Q40">
        <v>0</v>
      </c>
      <c r="R40">
        <v>116.600925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s="1">
        <v>45373.110231481478</v>
      </c>
      <c r="B41" s="2">
        <v>45356</v>
      </c>
      <c r="C41">
        <v>2024</v>
      </c>
      <c r="D41">
        <v>1</v>
      </c>
      <c r="E41">
        <v>3</v>
      </c>
      <c r="F41">
        <v>9</v>
      </c>
      <c r="G41">
        <v>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124.624804898547</v>
      </c>
      <c r="P41">
        <v>122.95727111431199</v>
      </c>
      <c r="Q41">
        <v>0</v>
      </c>
      <c r="R41">
        <v>116.600925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s="1">
        <v>45373.110231481478</v>
      </c>
      <c r="B42" s="2">
        <v>45357</v>
      </c>
      <c r="C42">
        <v>2024</v>
      </c>
      <c r="D42">
        <v>1</v>
      </c>
      <c r="E42">
        <v>3</v>
      </c>
      <c r="F42">
        <v>9</v>
      </c>
      <c r="G42">
        <v>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124.624804898547</v>
      </c>
      <c r="P42">
        <v>122.95727111431199</v>
      </c>
      <c r="Q42">
        <v>0</v>
      </c>
      <c r="R42">
        <v>116.600925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s="1">
        <v>45373.110231481478</v>
      </c>
      <c r="B43" s="2">
        <v>45358</v>
      </c>
      <c r="C43">
        <v>2024</v>
      </c>
      <c r="D43">
        <v>1</v>
      </c>
      <c r="E43">
        <v>3</v>
      </c>
      <c r="F43">
        <v>9</v>
      </c>
      <c r="G43">
        <v>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124.624804898547</v>
      </c>
      <c r="P43">
        <v>122.95727111431199</v>
      </c>
      <c r="Q43">
        <v>0</v>
      </c>
      <c r="R43">
        <v>116.600925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s="1">
        <v>45373.110231481478</v>
      </c>
      <c r="B44" s="2">
        <v>45359</v>
      </c>
      <c r="C44">
        <v>2024</v>
      </c>
      <c r="D44">
        <v>1</v>
      </c>
      <c r="E44">
        <v>3</v>
      </c>
      <c r="F44">
        <v>9</v>
      </c>
      <c r="G44">
        <v>8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124.624804898547</v>
      </c>
      <c r="P44">
        <v>122.95727111431199</v>
      </c>
      <c r="Q44">
        <v>0</v>
      </c>
      <c r="R44">
        <v>116.600925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s="1">
        <v>45373.110231481478</v>
      </c>
      <c r="B45" s="2">
        <v>45360</v>
      </c>
      <c r="C45">
        <v>2024</v>
      </c>
      <c r="D45">
        <v>1</v>
      </c>
      <c r="E45">
        <v>3</v>
      </c>
      <c r="F45">
        <v>9</v>
      </c>
      <c r="G45">
        <v>9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124.624804898547</v>
      </c>
      <c r="P45">
        <v>122.95727111431199</v>
      </c>
      <c r="Q45">
        <v>0</v>
      </c>
      <c r="R45">
        <v>116.600925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s="1">
        <v>45373.110231481478</v>
      </c>
      <c r="B46" s="2">
        <v>45361</v>
      </c>
      <c r="C46">
        <v>2024</v>
      </c>
      <c r="D46">
        <v>1</v>
      </c>
      <c r="E46">
        <v>3</v>
      </c>
      <c r="F46">
        <v>10</v>
      </c>
      <c r="G46">
        <v>10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124.624804898547</v>
      </c>
      <c r="P46">
        <v>122.95727111431199</v>
      </c>
      <c r="Q46">
        <v>0</v>
      </c>
      <c r="R46">
        <v>116.600925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s="1">
        <v>45373.110231481478</v>
      </c>
      <c r="B47" s="2">
        <v>45362</v>
      </c>
      <c r="C47">
        <v>2024</v>
      </c>
      <c r="D47">
        <v>1</v>
      </c>
      <c r="E47">
        <v>3</v>
      </c>
      <c r="F47">
        <v>10</v>
      </c>
      <c r="G47">
        <v>11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124.624804898547</v>
      </c>
      <c r="P47">
        <v>122.95727111431199</v>
      </c>
      <c r="Q47">
        <v>0</v>
      </c>
      <c r="R47">
        <v>116.600925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s="1">
        <v>45373.110231481478</v>
      </c>
      <c r="B48" s="2">
        <v>45363</v>
      </c>
      <c r="C48">
        <v>2024</v>
      </c>
      <c r="D48">
        <v>1</v>
      </c>
      <c r="E48">
        <v>3</v>
      </c>
      <c r="F48">
        <v>10</v>
      </c>
      <c r="G48">
        <v>12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124.624804898547</v>
      </c>
      <c r="P48">
        <v>122.95727111431199</v>
      </c>
      <c r="Q48">
        <v>0</v>
      </c>
      <c r="R48">
        <v>116.600925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s="1">
        <v>45373.110231481478</v>
      </c>
      <c r="B49" s="2">
        <v>45364</v>
      </c>
      <c r="C49">
        <v>2024</v>
      </c>
      <c r="D49">
        <v>1</v>
      </c>
      <c r="E49">
        <v>3</v>
      </c>
      <c r="F49">
        <v>10</v>
      </c>
      <c r="G49">
        <v>13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124.624804898547</v>
      </c>
      <c r="P49">
        <v>122.95727111431199</v>
      </c>
      <c r="Q49">
        <v>0</v>
      </c>
      <c r="R49">
        <v>116.600925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s="1">
        <v>45373.110231481478</v>
      </c>
      <c r="B50" s="2">
        <v>45365</v>
      </c>
      <c r="C50">
        <v>2024</v>
      </c>
      <c r="D50">
        <v>1</v>
      </c>
      <c r="E50">
        <v>3</v>
      </c>
      <c r="F50">
        <v>10</v>
      </c>
      <c r="G50">
        <v>14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124.624804898547</v>
      </c>
      <c r="P50">
        <v>122.95727111431199</v>
      </c>
      <c r="Q50">
        <v>0</v>
      </c>
      <c r="R50">
        <v>116.600925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s="1">
        <v>45373.110231481478</v>
      </c>
      <c r="B51" s="2">
        <v>45366</v>
      </c>
      <c r="C51">
        <v>2024</v>
      </c>
      <c r="D51">
        <v>1</v>
      </c>
      <c r="E51">
        <v>3</v>
      </c>
      <c r="F51">
        <v>10</v>
      </c>
      <c r="G51">
        <v>15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124.624804898547</v>
      </c>
      <c r="P51">
        <v>122.95727111431199</v>
      </c>
      <c r="Q51">
        <v>0</v>
      </c>
      <c r="R51">
        <v>116.600925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s="1">
        <v>45373.110231481478</v>
      </c>
      <c r="B52" s="2">
        <v>45367</v>
      </c>
      <c r="C52">
        <v>2024</v>
      </c>
      <c r="D52">
        <v>1</v>
      </c>
      <c r="E52">
        <v>3</v>
      </c>
      <c r="F52">
        <v>10</v>
      </c>
      <c r="G52">
        <v>16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124.624804898547</v>
      </c>
      <c r="P52">
        <v>122.95727111431199</v>
      </c>
      <c r="Q52">
        <v>0</v>
      </c>
      <c r="R52">
        <v>116.600925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s="1">
        <v>45373.110231481478</v>
      </c>
      <c r="B53" s="2">
        <v>45368</v>
      </c>
      <c r="C53">
        <v>2024</v>
      </c>
      <c r="D53">
        <v>1</v>
      </c>
      <c r="E53">
        <v>3</v>
      </c>
      <c r="F53">
        <v>11</v>
      </c>
      <c r="G53">
        <v>17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124.624804898547</v>
      </c>
      <c r="P53">
        <v>122.95727111431199</v>
      </c>
      <c r="Q53">
        <v>0</v>
      </c>
      <c r="R53">
        <v>116.600925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s="1">
        <v>45373.110231481478</v>
      </c>
      <c r="B54" s="2">
        <v>45369</v>
      </c>
      <c r="C54">
        <v>2024</v>
      </c>
      <c r="D54">
        <v>1</v>
      </c>
      <c r="E54">
        <v>3</v>
      </c>
      <c r="F54">
        <v>11</v>
      </c>
      <c r="G54">
        <v>18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124.624804898547</v>
      </c>
      <c r="P54">
        <v>122.95727111431199</v>
      </c>
      <c r="Q54">
        <v>0</v>
      </c>
      <c r="R54">
        <v>116.600925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s="1">
        <v>45373.110231481478</v>
      </c>
      <c r="B55" s="2">
        <v>45370</v>
      </c>
      <c r="C55">
        <v>2024</v>
      </c>
      <c r="D55">
        <v>1</v>
      </c>
      <c r="E55">
        <v>3</v>
      </c>
      <c r="F55">
        <v>11</v>
      </c>
      <c r="G55">
        <v>19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124.624804898547</v>
      </c>
      <c r="P55">
        <v>122.95727111431199</v>
      </c>
      <c r="Q55">
        <v>0</v>
      </c>
      <c r="R55">
        <v>116.600925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s="1">
        <v>45373.110231481478</v>
      </c>
      <c r="B56" s="2">
        <v>45371</v>
      </c>
      <c r="C56">
        <v>2024</v>
      </c>
      <c r="D56">
        <v>1</v>
      </c>
      <c r="E56">
        <v>3</v>
      </c>
      <c r="F56">
        <v>11</v>
      </c>
      <c r="G56">
        <v>20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124.624804898547</v>
      </c>
      <c r="P56">
        <v>122.95727111431199</v>
      </c>
      <c r="Q56">
        <v>0</v>
      </c>
      <c r="R56">
        <v>116.600925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s="1">
        <v>45373.110231481478</v>
      </c>
      <c r="B57" s="2">
        <v>45372</v>
      </c>
      <c r="C57">
        <v>2024</v>
      </c>
      <c r="D57">
        <v>1</v>
      </c>
      <c r="E57">
        <v>3</v>
      </c>
      <c r="F57">
        <v>11</v>
      </c>
      <c r="G57">
        <v>21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124.624804898547</v>
      </c>
      <c r="P57">
        <v>122.95727111431199</v>
      </c>
      <c r="Q57">
        <v>0</v>
      </c>
      <c r="R57">
        <v>116.600925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s="1">
        <v>45373.110231481478</v>
      </c>
      <c r="B58" s="2">
        <v>45373</v>
      </c>
      <c r="C58">
        <v>2024</v>
      </c>
      <c r="D58">
        <v>1</v>
      </c>
      <c r="E58">
        <v>3</v>
      </c>
      <c r="F58">
        <v>11</v>
      </c>
      <c r="G58">
        <v>22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124.624804898547</v>
      </c>
      <c r="P58">
        <v>122.95727111431199</v>
      </c>
      <c r="Q58">
        <v>0</v>
      </c>
      <c r="R58">
        <v>116.600925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s="1">
        <v>45373.110231481478</v>
      </c>
      <c r="B59" s="2">
        <v>45374</v>
      </c>
      <c r="C59">
        <v>2024</v>
      </c>
      <c r="D59">
        <v>1</v>
      </c>
      <c r="E59">
        <v>3</v>
      </c>
      <c r="F59">
        <v>11</v>
      </c>
      <c r="G59">
        <v>23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124.624804898547</v>
      </c>
      <c r="P59">
        <v>122.95727111431199</v>
      </c>
      <c r="Q59">
        <v>0</v>
      </c>
      <c r="R59">
        <v>116.600925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s="1">
        <v>45373.110231481478</v>
      </c>
      <c r="B60" s="2">
        <v>45375</v>
      </c>
      <c r="C60">
        <v>2024</v>
      </c>
      <c r="D60">
        <v>1</v>
      </c>
      <c r="E60">
        <v>3</v>
      </c>
      <c r="F60">
        <v>12</v>
      </c>
      <c r="G60">
        <v>24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124.624804898547</v>
      </c>
      <c r="P60">
        <v>122.95727111431199</v>
      </c>
      <c r="Q60">
        <v>0</v>
      </c>
      <c r="R60">
        <v>116.600925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s="1">
        <v>45373.110231481478</v>
      </c>
      <c r="B61" s="2">
        <v>45376</v>
      </c>
      <c r="C61">
        <v>2024</v>
      </c>
      <c r="D61">
        <v>1</v>
      </c>
      <c r="E61">
        <v>3</v>
      </c>
      <c r="F61">
        <v>12</v>
      </c>
      <c r="G61">
        <v>25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124.624804898547</v>
      </c>
      <c r="P61">
        <v>122.95727111431199</v>
      </c>
      <c r="Q61">
        <v>0</v>
      </c>
      <c r="R61">
        <v>116.600925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s="1">
        <v>45373.110231481478</v>
      </c>
      <c r="B62" s="2">
        <v>45377</v>
      </c>
      <c r="C62">
        <v>2024</v>
      </c>
      <c r="D62">
        <v>1</v>
      </c>
      <c r="E62">
        <v>3</v>
      </c>
      <c r="F62">
        <v>12</v>
      </c>
      <c r="G62">
        <v>26</v>
      </c>
      <c r="H62">
        <v>1</v>
      </c>
      <c r="I62">
        <v>0.75</v>
      </c>
      <c r="J62">
        <v>0</v>
      </c>
      <c r="K62">
        <v>0</v>
      </c>
      <c r="L62">
        <v>1</v>
      </c>
      <c r="M62">
        <v>0</v>
      </c>
      <c r="N62">
        <v>1</v>
      </c>
      <c r="O62">
        <v>93.468603673910394</v>
      </c>
      <c r="P62">
        <v>92.217953335734506</v>
      </c>
      <c r="Q62">
        <v>0</v>
      </c>
      <c r="R62">
        <v>116.600925</v>
      </c>
      <c r="S62">
        <v>0</v>
      </c>
      <c r="T62">
        <v>0.75</v>
      </c>
      <c r="U62">
        <v>0</v>
      </c>
      <c r="V62">
        <v>0</v>
      </c>
      <c r="W62">
        <v>0</v>
      </c>
      <c r="X62">
        <v>0.75</v>
      </c>
      <c r="Y62">
        <v>0.75</v>
      </c>
      <c r="Z62">
        <v>0</v>
      </c>
      <c r="AA62">
        <v>0.75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5" spans="9:18" x14ac:dyDescent="0.25">
      <c r="I65">
        <f>SUM(I1:I32)</f>
        <v>30.218800000000002</v>
      </c>
      <c r="O65">
        <f>SUM(O2:O62)</f>
        <v>7473.5999999999913</v>
      </c>
      <c r="P65">
        <f t="shared" ref="P65:R65" si="0">SUM(P2:P62)</f>
        <v>7373.5999999999485</v>
      </c>
      <c r="Q65">
        <f t="shared" si="0"/>
        <v>3875.5722499999874</v>
      </c>
      <c r="R65">
        <f t="shared" si="0"/>
        <v>3498.027750000002</v>
      </c>
    </row>
    <row r="66" spans="9:18" x14ac:dyDescent="0.25">
      <c r="O66">
        <f>summary!T3</f>
        <v>7473.5999999999904</v>
      </c>
      <c r="P66">
        <f>summary!U3</f>
        <v>7373.5999999999904</v>
      </c>
      <c r="Q66">
        <f>summary!V3</f>
        <v>3875.5722499999902</v>
      </c>
      <c r="R66">
        <f>summary!W3</f>
        <v>3498.0277500000002</v>
      </c>
    </row>
    <row r="67" spans="9:18" x14ac:dyDescent="0.25">
      <c r="O67">
        <f>O66-O65</f>
        <v>0</v>
      </c>
      <c r="P67" s="4">
        <f t="shared" ref="P67:R67" si="1">P66-P65</f>
        <v>4.1836756281554699E-11</v>
      </c>
      <c r="Q67">
        <f t="shared" si="1"/>
        <v>0</v>
      </c>
      <c r="R67">
        <f t="shared" si="1"/>
        <v>0</v>
      </c>
    </row>
    <row r="69" spans="9:18" x14ac:dyDescent="0.25">
      <c r="Q69">
        <f>Q2</f>
        <v>125.018459677419</v>
      </c>
      <c r="R69">
        <f>R61-R62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2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9" sqref="O9:O17"/>
    </sheetView>
  </sheetViews>
  <sheetFormatPr defaultRowHeight="15" x14ac:dyDescent="0.25"/>
  <cols>
    <col min="16" max="16" width="13.140625" customWidth="1"/>
    <col min="17" max="17" width="12.7109375" customWidth="1"/>
    <col min="18" max="18" width="15.5703125" customWidth="1"/>
  </cols>
  <sheetData>
    <row r="1" spans="1:35" x14ac:dyDescent="0.25">
      <c r="A1" t="s">
        <v>21</v>
      </c>
      <c r="B1" t="s">
        <v>79</v>
      </c>
      <c r="C1" t="s">
        <v>0</v>
      </c>
      <c r="D1" t="s">
        <v>78</v>
      </c>
      <c r="E1" t="s">
        <v>1</v>
      </c>
      <c r="F1" t="s">
        <v>77</v>
      </c>
      <c r="G1" t="s">
        <v>2</v>
      </c>
      <c r="H1" t="s">
        <v>7</v>
      </c>
      <c r="I1" t="s">
        <v>6</v>
      </c>
      <c r="J1" t="s">
        <v>3</v>
      </c>
      <c r="K1" t="s">
        <v>4</v>
      </c>
      <c r="L1" t="s">
        <v>5</v>
      </c>
      <c r="M1" t="s">
        <v>76</v>
      </c>
      <c r="N1" t="s">
        <v>75</v>
      </c>
      <c r="O1" t="s">
        <v>74</v>
      </c>
      <c r="P1" t="s">
        <v>73</v>
      </c>
      <c r="Q1" t="s">
        <v>72</v>
      </c>
      <c r="R1" t="s">
        <v>71</v>
      </c>
      <c r="S1" t="s">
        <v>70</v>
      </c>
      <c r="T1" t="s">
        <v>69</v>
      </c>
      <c r="U1" t="s">
        <v>68</v>
      </c>
      <c r="V1" t="s">
        <v>67</v>
      </c>
      <c r="W1" t="s">
        <v>66</v>
      </c>
      <c r="X1" t="s">
        <v>65</v>
      </c>
      <c r="Y1" t="s">
        <v>64</v>
      </c>
      <c r="Z1" t="s">
        <v>63</v>
      </c>
      <c r="AA1" t="s">
        <v>62</v>
      </c>
      <c r="AB1" t="s">
        <v>61</v>
      </c>
      <c r="AC1" t="s">
        <v>60</v>
      </c>
      <c r="AD1" t="s">
        <v>59</v>
      </c>
      <c r="AE1" t="s">
        <v>58</v>
      </c>
      <c r="AF1" t="s">
        <v>57</v>
      </c>
      <c r="AG1" t="s">
        <v>56</v>
      </c>
      <c r="AH1" t="s">
        <v>55</v>
      </c>
      <c r="AI1" t="s">
        <v>54</v>
      </c>
    </row>
    <row r="2" spans="1:35" x14ac:dyDescent="0.25">
      <c r="A2" s="1">
        <v>45373.106724537036</v>
      </c>
      <c r="B2" s="2">
        <v>45317</v>
      </c>
      <c r="C2">
        <v>2024</v>
      </c>
      <c r="D2">
        <v>1</v>
      </c>
      <c r="E2">
        <v>1</v>
      </c>
      <c r="F2">
        <v>3</v>
      </c>
      <c r="G2">
        <v>26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s="1">
        <v>45373.106724537036</v>
      </c>
      <c r="B3" s="2">
        <v>45318</v>
      </c>
      <c r="C3">
        <v>2024</v>
      </c>
      <c r="D3">
        <v>1</v>
      </c>
      <c r="E3">
        <v>1</v>
      </c>
      <c r="F3">
        <v>3</v>
      </c>
      <c r="G3">
        <v>27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s="1">
        <v>45373.106724537036</v>
      </c>
      <c r="B4" s="2">
        <v>45319</v>
      </c>
      <c r="C4">
        <v>2024</v>
      </c>
      <c r="D4">
        <v>1</v>
      </c>
      <c r="E4">
        <v>1</v>
      </c>
      <c r="F4">
        <v>4</v>
      </c>
      <c r="G4">
        <v>28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s="1">
        <v>45373.106724537036</v>
      </c>
      <c r="B5" s="2">
        <v>45320</v>
      </c>
      <c r="C5">
        <v>2024</v>
      </c>
      <c r="D5">
        <v>1</v>
      </c>
      <c r="E5">
        <v>1</v>
      </c>
      <c r="F5">
        <v>4</v>
      </c>
      <c r="G5">
        <v>29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s="1">
        <v>45373.106724537036</v>
      </c>
      <c r="B6" s="2">
        <v>45321</v>
      </c>
      <c r="C6">
        <v>2024</v>
      </c>
      <c r="D6">
        <v>1</v>
      </c>
      <c r="E6">
        <v>1</v>
      </c>
      <c r="F6">
        <v>4</v>
      </c>
      <c r="G6">
        <v>30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s="1">
        <v>45373.106724537036</v>
      </c>
      <c r="B7" s="2">
        <v>45322</v>
      </c>
      <c r="C7">
        <v>2024</v>
      </c>
      <c r="D7">
        <v>1</v>
      </c>
      <c r="E7">
        <v>1</v>
      </c>
      <c r="F7">
        <v>4</v>
      </c>
      <c r="G7">
        <v>31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s="1">
        <v>45373.106724537036</v>
      </c>
      <c r="B8" s="2">
        <v>45323</v>
      </c>
      <c r="C8">
        <v>2024</v>
      </c>
      <c r="D8">
        <v>1</v>
      </c>
      <c r="E8">
        <v>2</v>
      </c>
      <c r="F8">
        <v>4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s="1">
        <v>45373.106724537036</v>
      </c>
      <c r="B9" s="2">
        <v>45324</v>
      </c>
      <c r="C9">
        <v>2024</v>
      </c>
      <c r="D9">
        <v>1</v>
      </c>
      <c r="E9">
        <v>2</v>
      </c>
      <c r="F9">
        <v>4</v>
      </c>
      <c r="G9">
        <v>2</v>
      </c>
      <c r="H9">
        <v>1</v>
      </c>
      <c r="I9">
        <v>0.52080000000000004</v>
      </c>
      <c r="J9">
        <v>0</v>
      </c>
      <c r="K9">
        <v>1</v>
      </c>
      <c r="L9">
        <v>0</v>
      </c>
      <c r="M9">
        <v>1</v>
      </c>
      <c r="N9">
        <v>0</v>
      </c>
      <c r="O9">
        <v>94.0409872878312</v>
      </c>
      <c r="P9">
        <v>94.0409872878312</v>
      </c>
      <c r="Q9">
        <v>168.70949999999999</v>
      </c>
      <c r="R9">
        <v>0</v>
      </c>
      <c r="S9">
        <v>0.52080000000000004</v>
      </c>
      <c r="T9">
        <v>0</v>
      </c>
      <c r="U9">
        <v>0</v>
      </c>
      <c r="V9">
        <v>0.52080000000000004</v>
      </c>
      <c r="W9">
        <v>0</v>
      </c>
      <c r="X9">
        <v>0</v>
      </c>
      <c r="Y9">
        <v>0.52080000000000004</v>
      </c>
      <c r="Z9">
        <v>0</v>
      </c>
      <c r="AA9">
        <v>0.52080000000000004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s="1">
        <v>45373.106724537036</v>
      </c>
      <c r="B10" s="2">
        <v>45325</v>
      </c>
      <c r="C10">
        <v>2024</v>
      </c>
      <c r="D10">
        <v>1</v>
      </c>
      <c r="E10">
        <v>2</v>
      </c>
      <c r="F10">
        <v>4</v>
      </c>
      <c r="G10">
        <v>3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180.570252088769</v>
      </c>
      <c r="P10">
        <v>180.570252088769</v>
      </c>
      <c r="Q10">
        <v>168.70949999999999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s="1">
        <v>45373.106724537036</v>
      </c>
      <c r="B11" s="2">
        <v>45326</v>
      </c>
      <c r="C11">
        <v>2024</v>
      </c>
      <c r="D11">
        <v>1</v>
      </c>
      <c r="E11">
        <v>2</v>
      </c>
      <c r="F11">
        <v>5</v>
      </c>
      <c r="G11">
        <v>4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180.570252088769</v>
      </c>
      <c r="P11">
        <v>180.570252088769</v>
      </c>
      <c r="Q11">
        <v>168.70949999999999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s="1">
        <v>45373.106724537036</v>
      </c>
      <c r="B12" s="2">
        <v>45327</v>
      </c>
      <c r="C12">
        <v>2024</v>
      </c>
      <c r="D12">
        <v>1</v>
      </c>
      <c r="E12">
        <v>2</v>
      </c>
      <c r="F12">
        <v>5</v>
      </c>
      <c r="G12">
        <v>5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180.570252088769</v>
      </c>
      <c r="P12">
        <v>180.570252088769</v>
      </c>
      <c r="Q12">
        <v>168.70949999999999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1">
        <v>45373.106724537036</v>
      </c>
      <c r="B13" s="2">
        <v>45328</v>
      </c>
      <c r="C13">
        <v>2024</v>
      </c>
      <c r="D13">
        <v>1</v>
      </c>
      <c r="E13">
        <v>2</v>
      </c>
      <c r="F13">
        <v>5</v>
      </c>
      <c r="G13">
        <v>6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180.570252088769</v>
      </c>
      <c r="P13">
        <v>180.570252088769</v>
      </c>
      <c r="Q13">
        <v>168.70949999999999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s="1">
        <v>45373.106724537036</v>
      </c>
      <c r="B14" s="2">
        <v>45329</v>
      </c>
      <c r="C14">
        <v>2024</v>
      </c>
      <c r="D14">
        <v>1</v>
      </c>
      <c r="E14">
        <v>2</v>
      </c>
      <c r="F14">
        <v>5</v>
      </c>
      <c r="G14">
        <v>7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180.570252088769</v>
      </c>
      <c r="P14">
        <v>180.570252088769</v>
      </c>
      <c r="Q14">
        <v>168.70949999999999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s="1">
        <v>45373.106724537036</v>
      </c>
      <c r="B15" s="2">
        <v>45330</v>
      </c>
      <c r="C15">
        <v>2024</v>
      </c>
      <c r="D15">
        <v>1</v>
      </c>
      <c r="E15">
        <v>2</v>
      </c>
      <c r="F15">
        <v>5</v>
      </c>
      <c r="G15">
        <v>8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180.570252088769</v>
      </c>
      <c r="P15">
        <v>180.570252088769</v>
      </c>
      <c r="Q15">
        <v>168.70949999999999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s="1">
        <v>45373.106724537036</v>
      </c>
      <c r="B16" s="2">
        <v>45331</v>
      </c>
      <c r="C16">
        <v>2024</v>
      </c>
      <c r="D16">
        <v>1</v>
      </c>
      <c r="E16">
        <v>2</v>
      </c>
      <c r="F16">
        <v>5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180.570252088769</v>
      </c>
      <c r="P16">
        <v>180.570252088769</v>
      </c>
      <c r="Q16">
        <v>168.70949999999999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s="1">
        <v>45373.106724537036</v>
      </c>
      <c r="B17" s="2">
        <v>45332</v>
      </c>
      <c r="C17">
        <v>2024</v>
      </c>
      <c r="D17">
        <v>1</v>
      </c>
      <c r="E17">
        <v>2</v>
      </c>
      <c r="F17">
        <v>5</v>
      </c>
      <c r="G17">
        <v>10</v>
      </c>
      <c r="H17">
        <v>1</v>
      </c>
      <c r="I17">
        <v>0.83330000000000004</v>
      </c>
      <c r="J17">
        <v>0</v>
      </c>
      <c r="K17">
        <v>0</v>
      </c>
      <c r="L17">
        <v>1</v>
      </c>
      <c r="M17">
        <v>0</v>
      </c>
      <c r="N17">
        <v>1</v>
      </c>
      <c r="O17">
        <v>150.46919106557101</v>
      </c>
      <c r="P17">
        <v>150.46919106557101</v>
      </c>
      <c r="Q17">
        <v>0</v>
      </c>
      <c r="R17">
        <v>158.843999999999</v>
      </c>
      <c r="S17">
        <v>0.83330000000000004</v>
      </c>
      <c r="T17">
        <v>0</v>
      </c>
      <c r="U17">
        <v>0</v>
      </c>
      <c r="V17">
        <v>0.83330000000000004</v>
      </c>
      <c r="W17">
        <v>0</v>
      </c>
      <c r="X17">
        <v>0</v>
      </c>
      <c r="Y17">
        <v>0.83330000000000004</v>
      </c>
      <c r="Z17">
        <v>0</v>
      </c>
      <c r="AA17">
        <v>0.83330000000000004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s="1"/>
      <c r="B18" s="2"/>
    </row>
    <row r="19" spans="1:35" x14ac:dyDescent="0.25">
      <c r="A19" s="1"/>
      <c r="B19" s="2"/>
    </row>
    <row r="20" spans="1:35" x14ac:dyDescent="0.25">
      <c r="A20" s="1"/>
      <c r="B20" s="2"/>
    </row>
    <row r="21" spans="1:35" x14ac:dyDescent="0.25">
      <c r="A21" s="1"/>
      <c r="B21" s="2"/>
      <c r="I21">
        <f>SUM(I9:I16)</f>
        <v>7.5207999999999995</v>
      </c>
      <c r="O21">
        <f>SUM(O2:O17)</f>
        <v>1508.5019429747852</v>
      </c>
      <c r="P21">
        <f t="shared" ref="P21:R21" si="0">SUM(P2:P17)</f>
        <v>1508.5019429747852</v>
      </c>
      <c r="Q21">
        <f t="shared" si="0"/>
        <v>1349.6759999999997</v>
      </c>
      <c r="R21">
        <f t="shared" si="0"/>
        <v>158.843999999999</v>
      </c>
    </row>
    <row r="22" spans="1:35" x14ac:dyDescent="0.25">
      <c r="A22" s="1"/>
      <c r="B22" s="2"/>
      <c r="O22">
        <f>summary!T4</f>
        <v>1508.52</v>
      </c>
      <c r="P22">
        <f>summary!U4</f>
        <v>1508.52</v>
      </c>
      <c r="Q22">
        <f>summary!V4</f>
        <v>1349.6759999999999</v>
      </c>
      <c r="R22">
        <f>summary!W4</f>
        <v>158.843999999999</v>
      </c>
    </row>
    <row r="23" spans="1:35" x14ac:dyDescent="0.25">
      <c r="A23" s="1"/>
      <c r="B23" s="2"/>
      <c r="O23">
        <f>O22-O21</f>
        <v>1.8057025214829991E-2</v>
      </c>
      <c r="P23" s="4">
        <f t="shared" ref="P23:R23" si="1">P22-P21</f>
        <v>1.8057025214829991E-2</v>
      </c>
      <c r="Q23">
        <f t="shared" si="1"/>
        <v>0</v>
      </c>
      <c r="R23">
        <f t="shared" si="1"/>
        <v>0</v>
      </c>
    </row>
    <row r="24" spans="1:35" x14ac:dyDescent="0.25">
      <c r="A24" s="1"/>
      <c r="B24" s="2"/>
    </row>
    <row r="25" spans="1:35" x14ac:dyDescent="0.25">
      <c r="A25" s="1"/>
      <c r="B25" s="2"/>
      <c r="R25">
        <f>R17-R18</f>
        <v>158.843999999999</v>
      </c>
    </row>
    <row r="26" spans="1:35" x14ac:dyDescent="0.25">
      <c r="A26" s="1"/>
      <c r="B26" s="2"/>
    </row>
    <row r="27" spans="1:35" x14ac:dyDescent="0.25">
      <c r="A27" s="1"/>
      <c r="B27" s="2"/>
    </row>
    <row r="28" spans="1:35" x14ac:dyDescent="0.25">
      <c r="A28" s="1"/>
      <c r="B28" s="2"/>
    </row>
    <row r="29" spans="1:35" x14ac:dyDescent="0.25">
      <c r="A29" s="1"/>
      <c r="B29" s="2"/>
    </row>
    <row r="30" spans="1:35" x14ac:dyDescent="0.25">
      <c r="A30" s="1"/>
      <c r="B30" s="2"/>
    </row>
    <row r="31" spans="1:35" x14ac:dyDescent="0.25">
      <c r="A31" s="1"/>
      <c r="B31" s="2"/>
    </row>
    <row r="32" spans="1:35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test3</vt:lpstr>
      <vt:lpstr>summary</vt:lpstr>
      <vt:lpstr>240667</vt:lpstr>
      <vt:lpstr>246867</vt:lpstr>
      <vt:lpstr>246876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Calla</dc:creator>
  <cp:lastModifiedBy>Steve Calla</cp:lastModifiedBy>
  <cp:lastPrinted>2024-03-22T05:33:56Z</cp:lastPrinted>
  <dcterms:created xsi:type="dcterms:W3CDTF">2024-03-22T07:24:57Z</dcterms:created>
  <dcterms:modified xsi:type="dcterms:W3CDTF">2024-03-23T03:05:43Z</dcterms:modified>
</cp:coreProperties>
</file>